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aupham/Downloads/"/>
    </mc:Choice>
  </mc:AlternateContent>
  <xr:revisionPtr revIDLastSave="0" documentId="13_ncr:1_{5B4E49F3-A7D3-7D49-9491-142D0112C822}" xr6:coauthVersionLast="47" xr6:coauthVersionMax="47" xr10:uidLastSave="{00000000-0000-0000-0000-000000000000}"/>
  <bookViews>
    <workbookView xWindow="0" yWindow="600" windowWidth="28800" windowHeight="17400" tabRatio="500" activeTab="5" xr2:uid="{00000000-000D-0000-FFFF-FFFF00000000}"/>
  </bookViews>
  <sheets>
    <sheet name="How To Use" sheetId="2" r:id="rId1"/>
    <sheet name="GV — Govern" sheetId="3" r:id="rId2"/>
    <sheet name="ID — Identify" sheetId="4" r:id="rId3"/>
    <sheet name="PR — Protect" sheetId="5" r:id="rId4"/>
    <sheet name="DE — Detect" sheetId="6" r:id="rId5"/>
    <sheet name="RS — Respond" sheetId="7" r:id="rId6"/>
    <sheet name="RC — Recover" sheetId="8" r:id="rId7"/>
    <sheet name="Risk Register" sheetId="9" r:id="rId8"/>
    <sheet name="Dashboard" sheetId="10" r:id="rId9"/>
    <sheet name="Document Register" sheetId="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0" i="10" l="1"/>
  <c r="E10" i="10"/>
  <c r="D10" i="10"/>
  <c r="C10" i="10"/>
  <c r="F9" i="10"/>
  <c r="E9" i="10"/>
  <c r="D9" i="10"/>
  <c r="C9" i="10"/>
  <c r="F8" i="10"/>
  <c r="E8" i="10"/>
  <c r="D8" i="10"/>
  <c r="C8" i="10"/>
  <c r="F7" i="10"/>
  <c r="E7" i="10"/>
  <c r="D7" i="10"/>
  <c r="C7" i="10"/>
  <c r="F6" i="10"/>
  <c r="E6" i="10"/>
  <c r="C14" i="10" s="1"/>
  <c r="D6" i="10"/>
  <c r="C13" i="10" s="1"/>
  <c r="C6" i="10"/>
  <c r="F5" i="10"/>
  <c r="E5" i="10"/>
  <c r="D5" i="10"/>
  <c r="C5" i="10"/>
  <c r="C12" i="10" l="1"/>
</calcChain>
</file>

<file path=xl/sharedStrings.xml><?xml version="1.0" encoding="utf-8"?>
<sst xmlns="http://schemas.openxmlformats.org/spreadsheetml/2006/main" count="1163" uniqueCount="766">
  <si>
    <t>NIST CSF 2.0 Gap Assessment — Remediation Document Register</t>
  </si>
  <si>
    <t>Log(N) Pacific / Cyber Range  |  Assessor: Chau Pham  |  Framework: NIST CSF 2.0</t>
  </si>
  <si>
    <t>Document ID</t>
  </si>
  <si>
    <t>Document Name</t>
  </si>
  <si>
    <t>Description</t>
  </si>
  <si>
    <t>Controls Covered</t>
  </si>
  <si>
    <t>Status</t>
  </si>
  <si>
    <t>GOV-001</t>
  </si>
  <si>
    <t>Governance and Organizational Context</t>
  </si>
  <si>
    <t>Defines the mission, governance structure, leadership authority, and regulatory obligations of Log(N) Pacific as a company.</t>
  </si>
  <si>
    <t>GV.OC-01, GV.OC-02, GV.RR-01</t>
  </si>
  <si>
    <t>Not Started</t>
  </si>
  <si>
    <t>GOV-002</t>
  </si>
  <si>
    <t>Risk Management Document</t>
  </si>
  <si>
    <t>Captures risk appetite, risk tolerance thresholds, risk management strategy, and risk acceptance decisions in one place.</t>
  </si>
  <si>
    <t>GV.RM-01, GV.RM-02, GV.RM-03, GV.RM-04</t>
  </si>
  <si>
    <t>GOV-003</t>
  </si>
  <si>
    <t>Roles and Responsibilities Document</t>
  </si>
  <si>
    <t>Links the org chart to security responsibilities, access privileges, and accountability expectations for all personnel categories.</t>
  </si>
  <si>
    <t>GV.OC-04, GV.RR-02</t>
  </si>
  <si>
    <t>ID-001</t>
  </si>
  <si>
    <t>Asset Inventory and Risk Assessment</t>
  </si>
  <si>
    <t>Documents all hardware, software, and data assets. Includes risk assessment findings and treatment decisions.</t>
  </si>
  <si>
    <t>ID.AM-01 through ID.RA-06</t>
  </si>
  <si>
    <t>PR-001</t>
  </si>
  <si>
    <t>Access Control Policy</t>
  </si>
  <si>
    <t>Defines access control requirements, MFA enforcement, privileged access management, and account lifecycle procedures.</t>
  </si>
  <si>
    <t>PR.AA-01 through PR.AA-06</t>
  </si>
  <si>
    <t>PR-002</t>
  </si>
  <si>
    <t>Data Protection Policy</t>
  </si>
  <si>
    <t>Documents data classification, protection requirements, and data handling procedures.</t>
  </si>
  <si>
    <t>PR.DS-01 through PR.DS-11</t>
  </si>
  <si>
    <t>DE-001</t>
  </si>
  <si>
    <t>Detection and Monitoring Procedures</t>
  </si>
  <si>
    <t>Documents monitoring coverage, alert thresholds, and detection capabilities across Sentinel, Defender, and UEBA.</t>
  </si>
  <si>
    <t>DE.AE-01 through DE.CM-09</t>
  </si>
  <si>
    <t>RS-001</t>
  </si>
  <si>
    <t>Incident Response Plan</t>
  </si>
  <si>
    <t>Defines incident classification, escalation procedures, response steps, containment, eradication, and post-incident review process.</t>
  </si>
  <si>
    <t>RS.MA-01 through RS.CO-03</t>
  </si>
  <si>
    <t>RC-001</t>
  </si>
  <si>
    <t>Recovery and Business Continuity Plan</t>
  </si>
  <si>
    <t>Documents recovery objectives, restoration priorities, communication procedures, and lessons learned process.</t>
  </si>
  <si>
    <t>RC.RP-01 through RC.CO-04</t>
  </si>
  <si>
    <t>NIST CSF 2.0 Gap Assessment — Log(N) Pacific / Cyber Range</t>
  </si>
  <si>
    <t>Assessor: Chau Pham  |  Environment: Enterprise Azure (Sentinel · Defender for Endpoint · Tenable Nessus)  |  Framework: NIST CSF 2.0</t>
  </si>
  <si>
    <t>Purpose of this assessment</t>
  </si>
  <si>
    <t>This workbook maps the NIST Cybersecurity Framework 2.0 control categories to the specific tools and configurations present in the Log(N) Pacific enterprise Azure environment. Every assessment question is written for the actual stack: Azure AD / Entra ID, Microsoft Sentinel, Microsoft Defender for Endpoint, and Tenable Nessus. Your job is to assess what is configured, documented, and operating — not just what is theoretically possible.</t>
  </si>
  <si>
    <t>The 6 NIST CSF 2.0 Functions (tabs in this workbook)</t>
  </si>
  <si>
    <t>GV — GOVERN  |  New in CSF 2.0. Organizational context, risk strategy, roles, policies, oversight. The GRC backbone.</t>
  </si>
  <si>
    <t>ID — IDENTIFY  |  Asset management, risk assessment, improvement planning. Tenable Nessus lives here.</t>
  </si>
  <si>
    <t>PR — PROTECT  |  Access control, awareness, data security, platform security. Defender + Entra ID live here.</t>
  </si>
  <si>
    <t>DE — DETECT  |  Monitoring, anomaly detection, continuous monitoring. Microsoft Sentinel lives here.</t>
  </si>
  <si>
    <t>RS — RESPOND  |  Incident response, analysis, mitigation, reporting. IRP and Sentinel playbooks live here.</t>
  </si>
  <si>
    <t>RC — RECOVER  |  Recovery planning, improvements, communications. BCP/DR and backup configs live here.</t>
  </si>
  <si>
    <t>How to fill in each tab</t>
  </si>
  <si>
    <t>Column E — Maturity Score (1–5): 1=Not implemented  2=Initial/ad hoc  3=Defined/documented  4=Managed/measured  5=Optimized</t>
  </si>
  <si>
    <t>Column F — Current State: What actually exists today. Be specific — tool names, config states, screenshots you have seen.</t>
  </si>
  <si>
    <t>Column G — Gap Description: What is missing, undocumented, or inconsistent. Honest gaps only.</t>
  </si>
  <si>
    <t>Column H — Tool / Evidence Source: Which tool provides evidence for this control (Sentinel, Defender, Tenable, Entra ID, Azure Policy).</t>
  </si>
  <si>
    <t>Column I — Remediation Action: What specific step closes the gap. Be actionable — 'Enable MFA in Entra ID' not 'fix access'.</t>
  </si>
  <si>
    <t>Column J — Owner: Person responsible for remediation. Use names.</t>
  </si>
  <si>
    <t>Column K — Priority: Critical / High / Medium / Low</t>
  </si>
  <si>
    <t>Column L — Status: Open / In Progress / Closed</t>
  </si>
  <si>
    <t>Maturity scoring guide</t>
  </si>
  <si>
    <t>1 — Not implemented: Control does not exist. No tool configured, no policy written, no evidence.</t>
  </si>
  <si>
    <t>2 — Initial: Something exists but it is informal, inconsistent, or not documented. Depends on individuals.</t>
  </si>
  <si>
    <t>3 — Defined: Control is documented and consistently applied. Policy or configuration is written and enforced.</t>
  </si>
  <si>
    <t>4 — Managed: Control is monitored and measured. Metrics tracked. Exceptions managed. Evidence collected regularly.</t>
  </si>
  <si>
    <t>5 — Optimized: Control is continuously improved. Lessons learned fed back in. Industry best practice.</t>
  </si>
  <si>
    <t>What to do with results</t>
  </si>
  <si>
    <t>1. Complete all 6 tabs. Score every control honestly.</t>
  </si>
  <si>
    <t>2. The Dashboard tab auto-calculates your maturity score per function and overall.</t>
  </si>
  <si>
    <t>3. All controls scored 1 or 2 feed your Risk Register (separate tab).</t>
  </si>
  <si>
    <t>4. Produce a 1-page Executive Summary for Josh Madakor using the Dashboard output.</t>
  </si>
  <si>
    <t>5. This entire workbook + executive summary = your GRC portfolio artifact for interviews.</t>
  </si>
  <si>
    <t>NIST CSF 2.0 — GV: GOVERN  |  Log(N) Pacific Azure Environment</t>
  </si>
  <si>
    <t>Score each control 1–5. Be specific about what is configured in Azure. Evidence sources: Sentinel · Defender for Endpoint · Tenable · Entra ID · Azure Policy</t>
  </si>
  <si>
    <t>#</t>
  </si>
  <si>
    <t>Category ID</t>
  </si>
  <si>
    <t>Subcategory</t>
  </si>
  <si>
    <t>Control Question
(Azure-specific)</t>
  </si>
  <si>
    <t>Maturity
(1–5)</t>
  </si>
  <si>
    <t>Current State
(what exists today)</t>
  </si>
  <si>
    <t>Gap Description
(what is missing)</t>
  </si>
  <si>
    <t>Tool / Evidence Source</t>
  </si>
  <si>
    <t>Remediation Action</t>
  </si>
  <si>
    <t>Owner</t>
  </si>
  <si>
    <t>Priority</t>
  </si>
  <si>
    <t xml:space="preserve">  GV.OC — Organizational Context</t>
  </si>
  <si>
    <t>GV.OC-01</t>
  </si>
  <si>
    <t>Mission &amp; objectives</t>
  </si>
  <si>
    <t>Is there a documented mission statement and security objectives for Log(N) Pacific as an organization? Does it define what secure operations means for the business?</t>
  </si>
  <si>
    <t>Organizational context is implicitly understood by Josh and his admin team at the company level. Some accepted risk is documented within the architecture document through the STRIDE table and specific risk scenarios section. No standalone formal documents exist defining Log(N) Pacific's mission statement, risk appetite, or governance structure. Josh retains final decision-making authority supported by a team of admins but no formal organizational governance structure is documented.</t>
  </si>
  <si>
    <t>No formal organizational context document exists for Log(N) Pacific as a company. No standalone risk appetite statement has been defined. Governance structure beyond founder-level decision-making with admin team support has not been formally documented.</t>
  </si>
  <si>
    <t>Cyber Range Architecture &amp; Engineering Document (STRIDE table, risk scenarios section)</t>
  </si>
  <si>
    <t>Add a section to GOV-001 that captures Log(N) Pacific's mission, what secure operations means for the business, and the overall governance structure. This does not need to be complex — a short written statement is sufficient.</t>
  </si>
  <si>
    <t xml:space="preserve">Josh Madakor </t>
  </si>
  <si>
    <t>High</t>
  </si>
  <si>
    <t>Open</t>
  </si>
  <si>
    <t>GV.OC-02</t>
  </si>
  <si>
    <t>Legal &amp; regulatory</t>
  </si>
  <si>
    <t>Has Log(N) Pacific identified applicable legal and regulatory requirements, including state privacy laws and contractual obligations with tool vendors like Microsoft, Tenable, and Skool?</t>
  </si>
  <si>
    <t>Log(N) Pacific has made deliberate compliance decisions that demonstrate regulatory awareness. Payment processing is scoped out of PCI via Skool and Stripe. Student usernames are pseudonymized via SHA-256 hashing reflecting deliberate data protection thinking. Active contractual relationships exist with Microsoft, Tenable, and Skool — confirmed through Azure's 48-hour remediation notification during the Chinese attacker incident. These decisions show that a regulatory identification exercise has taken place, even if the results were never captured in a standalone document.</t>
  </si>
  <si>
    <t>The results of the regulatory identification exercise are not captured in a standalone document. No formal regulatory inventory exists that lists applicable laws, confirmed out of scope frameworks, and vendor contractual obligations. Josh personally owns and maintains all documentation, but no defined review cadence exists to ensure it stays current as the platform evolves.</t>
  </si>
  <si>
    <t>Cyber Range Architecture &amp; Engineering Document (payment processing section, username anonymization section), Azure 48-hour breach notification during known incident</t>
  </si>
  <si>
    <t>Add a section to GOV-001 that captures what laws apply, what does not apply and why, and what obligations exist with each vendor. Review once a year.</t>
  </si>
  <si>
    <t>Josh Madakor</t>
  </si>
  <si>
    <t>Low</t>
  </si>
  <si>
    <t>GV.OC-03</t>
  </si>
  <si>
    <t>Critical objectives</t>
  </si>
  <si>
    <t>Has Log(N) Pacific documented its critical cybersecurity outcomes?</t>
  </si>
  <si>
    <t>Critical cybersecurity outcomes are partially documented in the architecture document. Student PII protection is addressed through SHA-256 username pseudonymization. Lab availability is addressed through a warm standby architecture with a 24-hour RTO. The intentionally open student subnet is a deliberate and documented design decision. Josh has acknowledged the need for stronger management plane protection, but no documentation confirms that the required controls have been fully implemented or enforced.</t>
  </si>
  <si>
    <t>No standalone governance document formally defines the full set of critical cybersecurity outcomes for Log(N) Pacific. The management plane boundary is acknowledged but not confirmed as fully enforced. Josh personally owns and maintains all documentation, but no defined review cadence exists.</t>
  </si>
  <si>
    <t>Cyber Range Architecture &amp; Engineering Document (Data Protection and Privacy Controls section, STRIDE table, Business Continuity and Disaster Recovery section)</t>
  </si>
  <si>
    <t>Add a section to GOV-001 that formally confirms which management plane protections are in place and which still need to be enforced. Use the existing architecture document as the starting point.</t>
  </si>
  <si>
    <t>Medium</t>
  </si>
  <si>
    <t>GV.OC-04</t>
  </si>
  <si>
    <t>Stakeholder dependencies</t>
  </si>
  <si>
    <t>Has Log(N) Pacific identified and documented its key internal stakeholders, external vendors, and critical dependencies?</t>
  </si>
  <si>
    <t>An internal org chart exists documenting the team structure at Log(N) Pacific. The org chart is not tied to IAM or security role definitions in Entra ID. Vendor dependencies — Microsoft Azure, Tenable, Skool, and Stripe — are named in the architecture document in a technical context. Josh functions as the primary decision-maker supported by a team of admins.</t>
  </si>
  <si>
    <t>The org chart exists but is not connected to security role definitions or IAM assignments in Entra ID. No formal stakeholder map or dependency register exists as a standalone governance document that links internal roles to security responsibilities and vendor dependencies.</t>
  </si>
  <si>
    <t>Internal org chart provided by Josh Madakor, Cyber Range Architecture &amp; Engineering Document (vendor references, payment processing section), Skool admin page</t>
  </si>
  <si>
    <t>Add a section to GOV-003 that links the existing org chart to security responsibilities and vendor dependencies. Update it whenever roles or vendor relationships change.</t>
  </si>
  <si>
    <t xml:space="preserve">  GV.RM — Risk Management Strategy</t>
  </si>
  <si>
    <t>GV.RM-01</t>
  </si>
  <si>
    <t>Risk appetite</t>
  </si>
  <si>
    <t>Is there a documented risk appetite statement for Log(N) Pacific? Does it define what risks the company is willing to accept and what risks are not acceptable?</t>
  </si>
  <si>
    <t>Risk appetite decisions are explicitly and intentionally documented in the architecture document. Microsoft subscription suspension is noted as an accepted residual risk. The intentionally open student subnet is documented as a deliberate accepted risk by design. The STRIDE table identifies threats with mitigation status. The Risk Outlook section acknowledges risks that were anticipated and have since materialized. These are deliberate risk acceptance decisions made and written down by Josh as the owner and decision maker of Log(N) Pacific.</t>
  </si>
  <si>
    <t>Risk appetite decisions are documented within the architecture document but not in a standalone risk appetite statement. Josh personally owns and maintains all documentation, but no defined review cadence exists to ensure these decisions remain accurate as the platform evolves. The decisions are embedded in a technical document rather than a dedicated governance document.</t>
  </si>
  <si>
    <t>Cyber Range Architecture &amp; Engineering Document (STRIDE table, specific risk scenarios table, Risk Outlook section)</t>
  </si>
  <si>
    <t>Add a section to GOV-002 that extracts the existing risk appetite decisions from the architecture document. Define what risks are acceptable and what are not. Review at least once a year.</t>
  </si>
  <si>
    <t>GV.RM-02</t>
  </si>
  <si>
    <t>Risk tolerance</t>
  </si>
  <si>
    <t>Has Log(N) Pacific defined risk tolerance thresholds, including maximum acceptable downtime and maximum acceptable data exposure?</t>
  </si>
  <si>
    <t>A 24-hour RTO is explicitly documented in the architecture document. RPO is explicitly stated as not applicable — the environment is ephemeral by design, no persistent data is retained, and data loss is acceptable. Both decisions are intentional and clearly documented. These tolerance thresholds were made deliberately by Josh and reflect the nature of how the platform is designed and operated.</t>
  </si>
  <si>
    <t>RTO and RPO are documented in the architecture document but are not captured in a standalone governance document. Josh personally owns and maintains all documentation, but no defined review cadence exists to ensure these thresholds remain accurate as the platform evolves.</t>
  </si>
  <si>
    <t>Cyber Range Architecture &amp; Engineering Document (Business Continuity and Disaster Recovery section)</t>
  </si>
  <si>
    <t>Add a section to GOV-002 that captures the RTO and RPO decisions. Assign a review cadence of at least once a year or after any major platform change.</t>
  </si>
  <si>
    <t>GV.RM-03</t>
  </si>
  <si>
    <t>Risk strategy</t>
  </si>
  <si>
    <t>Does Log(N) Pacific have a formal risk management strategy that defines how risks are identified, assessed, and treated?</t>
  </si>
  <si>
    <t>STRIDE threat modeling was deliberately chosen and applied during the architecture design phase. The results are documented in the architecture document alongside a specific risk scenarios table and a Risk Outlook section. Josh updates the architecture document when significant platform changes occur, which functions as a trigger-based risk review. The STRIDE methodology is an intentional and documented approach to risk identification and assessment.</t>
  </si>
  <si>
    <t>The risk management strategy is documented within the architecture document but does not exist as a standalone governance document. Josh personally owns and maintains all documentation, but no defined review cadence exists. The current approach is trigger-based rather than scheduled.</t>
  </si>
  <si>
    <t>Add a section to GOV-002 that documents the risk management strategy. Define how often risks will be reviewed, who is responsible, and what triggers an out-of-cycle review. The STRIDE methodology already in use can serve as the foundation.</t>
  </si>
  <si>
    <t>GV.RM-04</t>
  </si>
  <si>
    <t>Risk decisions</t>
  </si>
  <si>
    <t>Are risk acceptance decisions documented and approved by leadership at Log(N) Pacific?</t>
  </si>
  <si>
    <t>Risk acceptance decisions are written down in the architecture document. Microsoft subscription suspension is noted as an accepted risk. The intentionally open student subnet is documented as a deliberate decision. The Risk Outlook section acknowledges risks that were anticipated and have since happened. Josh is the owner of the company and the author of the architecture document, so all risk decisions written in that document are approved by him.</t>
  </si>
  <si>
    <t>Risk acceptance decisions are written in the architecture document but do not include dates or brief explanations for each decision. Josh personally owns and maintains all documentation, but there is no defined schedule to revisit these decisions as the platform changes.</t>
  </si>
  <si>
    <t>Cyber Range Architecture &amp; Engineering Document (specific risk scenarios table, Risk Outlook section)</t>
  </si>
  <si>
    <t>Add a section to GOV-002 that records each accepted risk with a brief note on why it was accepted and the date the decision was made. Review existing risk decisions at least once a year or after any major platform change.</t>
  </si>
  <si>
    <t xml:space="preserve">  GV.RR — Roles &amp; Responsibilities</t>
  </si>
  <si>
    <t>GV.RR-01</t>
  </si>
  <si>
    <t>Leadership accountability</t>
  </si>
  <si>
    <t>Is security leadership assigned with clear authority at Log(N) Pacific? Is Josh documented as the security decision maker?</t>
  </si>
  <si>
    <t>Josh is clearly the security decision maker at Log(N) Pacific in practice. He authored the architecture document, made all documented risk acceptance decisions, and personally led the response to the Chinese attacker incident including coordinating with Azure within the 48-hour remediation window. Josh delegates operational tasks to a team of admins but retains final authority over all security decisions. However his security leadership role is demonstrated through practice and actions rather than explicitly stated in any formal document.</t>
  </si>
  <si>
    <t>Josh's security leadership role is demonstrated through practice and documented decisions but is not explicitly stated in a formal governance document. An internal org chart exists but does not formally assign security leadership authority or define decision rights. No governance statement exists that a new team member or external reviewer could point to as evidence of formal security leadership assignment.</t>
  </si>
  <si>
    <t>Cyber Range Architecture &amp; Engineering Document (authorship, risk decisions throughout), Azure 48-hour breach notification and response during known incident</t>
  </si>
  <si>
    <t>Add a section to GOV-001 that formally names Josh as the security leader of Log(N) Pacific, defines his decision rights, and lists the admin roles that support him. One page is sufficient.</t>
  </si>
  <si>
    <t>GV.RR-02</t>
  </si>
  <si>
    <t>Role definitions</t>
  </si>
  <si>
    <t>Are security roles and responsibilities documented for all personnel with access at Log(N) Pacific?</t>
  </si>
  <si>
    <t>An internal org chart exists documenting the team structure at Log(N) Pacific, but it is not tied to IAM or security role definitions in Entra ID. Technical permission sets are defined in the architecture document for students, admins, and the automation service account across Azure, Sentinel, Defender, and Tenable. Student security responsibilities are clearly defined through the Platform Rules and Agreement, which covers scope of use, restrictions, professional conduct, and legal consequences for violations. No formal document defines admin security roles, responsibilities, and accountability expectations from a governance perspective.</t>
  </si>
  <si>
    <t>No formal document defines security roles and responsibilities for admins at Log(N) Pacific. While students have a clear accountability framework through the Platform Rules and Agreement, admins do not have an equivalent document that defines what they are responsible for, what actions they are authorized to take, and what the consequences are if they act outside their intended scope.</t>
  </si>
  <si>
    <t>Cyber Range Architecture &amp; Engineering Document (RBAC section, permissions table), Platform Rules and Agreement, Skool admin page</t>
  </si>
  <si>
    <t>Use the student responsibilities already defined in the Platform Rules and Agreement as the starting point. Expand to cover all personnel at Log(N) Pacific including the owner, admins, and students. Consolidate everything into GOV-003 as a single standalone role definition document. Update it whenever roles or access levels change.</t>
  </si>
  <si>
    <t>GV.RR-03</t>
  </si>
  <si>
    <t>Adequate resources</t>
  </si>
  <si>
    <t>Are sufficient resources allocated to security at Log(N) Pacific? Are Sentinel, Defender, and Tenable licenses current?</t>
  </si>
  <si>
    <t>N/A</t>
  </si>
  <si>
    <t>Sentinel, Defender for Endpoint, and Tenable are deployed and actively licensed. However these tools serve as the core product of the Cyber Range training platform rather than as dedicated organizational security controls. Students use these tools to practice security skills as part of the curriculum. The cost modeling in the architecture document reflects pricing decisions for the training business, not a formal security budget allocation. Security resource decisions are made by Josh personally as part of overall business operations.</t>
  </si>
  <si>
    <t>Not applicable. Security resources are embedded in the business model by design. Separating organizational security resource allocation from the training platform costs is not meaningful for a company of this size and structure.</t>
  </si>
  <si>
    <t>Cyber Range Architecture &amp; Engineering Document (pricing and cost modeling section), Tenable and Azure active licensing</t>
  </si>
  <si>
    <t>Not applicable.</t>
  </si>
  <si>
    <t xml:space="preserve">  GV.PO — Policy</t>
  </si>
  <si>
    <t>GV.PO-01</t>
  </si>
  <si>
    <t>Security policy</t>
  </si>
  <si>
    <t>Does Log(N) Pacific have a formal Information Security Policy that covers the company and the Cyber Range as a whole — documented, approved by leadership, and communicated to all staff?</t>
  </si>
  <si>
    <t>Security-relevant content exists across two documents. The Platform Rules and Agreement establishes behavioral expectations and legal obligations for students using the Cyber Range. The architecture document captures technical security controls, threat modeling, and risk decisions for the entire environment. Together these documents provide reasonable coverage for the Cyber Range platform, but neither serves as an overarching Information Security Policy governing Log(N) Pacific as a whole.</t>
  </si>
  <si>
    <t>No overarching Information Security Policy exists that covers both the company and the Cyber Range together as a unified security program. There is no single document that defines Log(N) Pacific's commitment to security, the scope of the security program across all operations, accountability assignments, and overarching security principles applicable to everyone — the company, the admin team, and the Cyber Range platform.</t>
  </si>
  <si>
    <t>Cyber Range Architecture &amp; Engineering Document, Platform Rules and Agreement</t>
  </si>
  <si>
    <t>Add a section to GOV-001 that defines Log(N) Pacific's overarching commitment to security covering both the company and the Cyber Range. Define the scope of the security program, who is accountable for security decisions, and the principles that apply to all operations. Use the existing architecture document and Platform Rules and Agreement as the starting point.</t>
  </si>
  <si>
    <t>GV.PO-02</t>
  </si>
  <si>
    <t>Policy review</t>
  </si>
  <si>
    <t>Does Log(N) Pacific have a policy review cycle for its security documentation — covering both the company and the Cyber Range? When was it last reviewed and updated?</t>
  </si>
  <si>
    <t>No policy review cycle exists for Log(N) Pacific's security documentation. Josh personally owns and maintains all documentation and updates it reactively when significant events or platform changes occur. There are no dated review records, no defined review schedule, and no formal approval process for any security documentation covering the company or the Cyber Range.</t>
  </si>
  <si>
    <t>No policy review cycle or schedule exists. Security documentation is updated reactively based on Josh's personal judgment rather than a defined cadence. There is no audit trail of what was reviewed, what changed, and when across any of the security documentation in place. Reactive maintenance of technical documentation does not constitute a policy review cycle.</t>
  </si>
  <si>
    <t>Cyber Range Architecture &amp; Engineering Document, Platform Rules and Agreement, Josh Madakor confirmed as sole owner of all documentation</t>
  </si>
  <si>
    <t>Add a review cadence to GOV-001 defining how often all security documentation is reviewed — covering both the company and the Cyber Range. At minimum, document the date of each review, what was changed, and who approved it. Define what triggers an out-of-cycle review such as a significant incident or major platform change.</t>
  </si>
  <si>
    <t xml:space="preserve">  GV.OV — Oversight</t>
  </si>
  <si>
    <t>GV.OV-01</t>
  </si>
  <si>
    <t>Results review</t>
  </si>
  <si>
    <t>Does anyone at Log(N) Pacific periodically review real threat activity in the Azure environment to ensure the company and the Cyber Range are not being actively targeted?</t>
  </si>
  <si>
    <t>Josh is the primary person responsible for security oversight at Log(N) Pacific. He responds when Azure notifies him directly of serious incidents and when real threat activity is discovered incidentally during student threat hunt exercises that occur every two weeks. The capability to review threat activity exists — Josh has access to Sentinel, Entra ID sign-in logs, and Azure Activity logs. Real threat activity has been identified and acted on in practice, including a confirmed breach involving an external attacker. However no proactive scheduled review of real threat activity exists independent of external notification or student exercises.</t>
  </si>
  <si>
    <t>No defined periodic review process exists for real threat activity in the Azure environment. Security oversight is reactive and relies on external Azure notification or incidental discovery during student exercises. There is no defined schedule, no assigned reviewer, and no documented process for proactively checking whether the company or the Cyber Range is being actively targeted.</t>
  </si>
  <si>
    <t>Cyber Range Architecture &amp; Engineering Document, community threat hunt exercise structure, known breach incident and Azure notification process</t>
  </si>
  <si>
    <t>Add a section to GOV-001 defining a periodic review process where Josh or a designated admin reviews Entra ID sign-in logs and Azure Activity logs for real threat activity targeting the management plane. Document what is reviewed, by whom, how often, and what triggers an escalation.</t>
  </si>
  <si>
    <t>GV.OV-02</t>
  </si>
  <si>
    <t>Risk review</t>
  </si>
  <si>
    <t>Does anyone at Log(N) Pacific periodically review cybersecurity risks to ensure existing risk decisions remain valid and new risks are identified?</t>
  </si>
  <si>
    <t>No scheduled risk review process exists at Log(N) Pacific. Josh personally owns all documentation and revisits risk decisions reactively when significant incidents or major platform changes occur. The environment and company structure are relatively stable, which contributes to the absence of a recurring review cadence. Risk decisions are embedded in the architecture document and are updated informally based on Josh's judgment.</t>
  </si>
  <si>
    <t>No defined risk review schedule exists for Log(N) Pacific as a whole. Risk review is entirely reactive and event-driven. There is no recurring process for leadership to assess whether existing risk decisions remain valid or whether new risks have emerged for the company or the Cyber Range.</t>
  </si>
  <si>
    <t>Cyber Range Architecture &amp; Engineering Document, Josh Madakor confirmed as sole owner of all documentation</t>
  </si>
  <si>
    <t>Add a section to GOV-002 defining a minimum annual risk review cadence with defined triggers for out-of-cycle reviews such as significant incidents, major platform changes, or new vendor relationships. Document review outcomes and any changes to risk treatment decisions.</t>
  </si>
  <si>
    <t xml:space="preserve">  GV.SC — Supply Chain Risk</t>
  </si>
  <si>
    <t>GV.SC-01</t>
  </si>
  <si>
    <t>Supply chain policy</t>
  </si>
  <si>
    <t>Does Log(N) Pacific have a process for assessing security risk from its key vendors?</t>
  </si>
  <si>
    <t>Log(N) Pacific relies on four key vendors — Microsoft Azure, Tenable, Skool, and Stripe. All four are large, well-established companies whose security posture is publicly documented and independently verified through certifications such as SOC 2, ISO 27001, and PCI compliance. Log(N) Pacific uses these vendors' standard offerings with no custom integrations that would introduce additional vendor risk.</t>
  </si>
  <si>
    <t>Not applicable. A formal vendor risk assessment is not proportionate to the size and risk profile of this environment given the nature and scale of the vendors in use.</t>
  </si>
  <si>
    <t>Cyber Range Architecture &amp; Engineering Document (vendor references, payment processing section)</t>
  </si>
  <si>
    <t>GV.SC-02</t>
  </si>
  <si>
    <t>Supplier agreements</t>
  </si>
  <si>
    <t>Do vendor agreements (Microsoft EA, Tenable license) include security and data protection terms?</t>
  </si>
  <si>
    <t>An active contractual relationship with Microsoft Azure exists and includes defined security obligations. During a breach incident involving an attacker attempting to use the Azure environment to attack external platforms, Microsoft notified Josh directly and provided a 48-hour remediation window. Josh responded and resolved the incident within that window, demonstrating active compliance with contractual security obligations. Log(N) Pacific continues to operate on Azure, confirming the agreement remains in good standing. Security and data protection terms for Tenable were verified through publicly available license terms.</t>
  </si>
  <si>
    <t>No internal obligations register exists documenting contractual security requirements, breach notification timelines, and compliance responsibilities across all key vendors. Vendor agreement compliance is demonstrated in practice but not formally tracked or documented internally.</t>
  </si>
  <si>
    <t>Microsoft Azure breach notification and 48-hour remediation window during known incident, Tenable license terms (publicly available)</t>
  </si>
  <si>
    <t>Add a section to GOV-002 that documents the key security and data protection obligations under each vendor agreement. Capture breach notification timelines and compliance responsibilities for Microsoft Azure, Tenable, Skool, and Stripe. Review when vendor agreements are renewed or relationships change significantly.</t>
  </si>
  <si>
    <t>NIST CSF 2.0 — ID: IDENTIFY  |  Log(N) Pacific Azure Environment</t>
  </si>
  <si>
    <t xml:space="preserve">  ID.AM — Asset Management</t>
  </si>
  <si>
    <t>ID.AM-01</t>
  </si>
  <si>
    <t>Physical asset inventory</t>
  </si>
  <si>
    <t>ID.AM-02</t>
  </si>
  <si>
    <t>Software asset inventory</t>
  </si>
  <si>
    <t>ID.AM-03</t>
  </si>
  <si>
    <t>Network map</t>
  </si>
  <si>
    <t>ID.AM-04</t>
  </si>
  <si>
    <t>External exposure</t>
  </si>
  <si>
    <t>ID.AM-05</t>
  </si>
  <si>
    <t>Users and credentials</t>
  </si>
  <si>
    <t>ID.AM-07</t>
  </si>
  <si>
    <t>Privileged assets</t>
  </si>
  <si>
    <t xml:space="preserve">  ID.RA — Risk Assessment</t>
  </si>
  <si>
    <t>ID.RA-01</t>
  </si>
  <si>
    <t>Vulnerability identification</t>
  </si>
  <si>
    <t>ID.RA-02</t>
  </si>
  <si>
    <t>Threat intelligence</t>
  </si>
  <si>
    <t>ID.RA-03</t>
  </si>
  <si>
    <t>Threat identification</t>
  </si>
  <si>
    <t>ID.RA-04</t>
  </si>
  <si>
    <t>Risk assessment</t>
  </si>
  <si>
    <t>ID.RA-05</t>
  </si>
  <si>
    <t>Risk prioritization</t>
  </si>
  <si>
    <t>ID.RA-06</t>
  </si>
  <si>
    <t>Risk response plan</t>
  </si>
  <si>
    <t xml:space="preserve">  ID.IM — Improvement</t>
  </si>
  <si>
    <t>ID.IM-01</t>
  </si>
  <si>
    <t>Improvement plan</t>
  </si>
  <si>
    <t>ID.IM-02</t>
  </si>
  <si>
    <t>Lessons learned</t>
  </si>
  <si>
    <t>NIST CSF 2.0 — PR: PROTECT  |  Log(N) Pacific Azure Environment</t>
  </si>
  <si>
    <t xml:space="preserve">  PR.AA — Identity Management &amp; Access Control</t>
  </si>
  <si>
    <t>PR.AA-01</t>
  </si>
  <si>
    <t>Identity management</t>
  </si>
  <si>
    <t>PR.AA-02</t>
  </si>
  <si>
    <t>Authentication</t>
  </si>
  <si>
    <t>PR.AA-03</t>
  </si>
  <si>
    <t>Privileged access</t>
  </si>
  <si>
    <t>PR.AA-04</t>
  </si>
  <si>
    <t>Least privilege</t>
  </si>
  <si>
    <t>PR.AA-05</t>
  </si>
  <si>
    <t>Physical access</t>
  </si>
  <si>
    <t>PR.AA-06</t>
  </si>
  <si>
    <t>Access reviews</t>
  </si>
  <si>
    <t xml:space="preserve">  PR.AT — Awareness &amp; Training</t>
  </si>
  <si>
    <t>PR.AT-01</t>
  </si>
  <si>
    <t>Security awareness</t>
  </si>
  <si>
    <t>PR.AT-02</t>
  </si>
  <si>
    <t>Privileged user training</t>
  </si>
  <si>
    <t xml:space="preserve">  PR.DS — Data Security</t>
  </si>
  <si>
    <t>PR.DS-01</t>
  </si>
  <si>
    <t>Data at rest</t>
  </si>
  <si>
    <t>PR.DS-02</t>
  </si>
  <si>
    <t>Data in transit</t>
  </si>
  <si>
    <t>PR.DS-10</t>
  </si>
  <si>
    <t>Data handling</t>
  </si>
  <si>
    <t xml:space="preserve">  PR.PS — Platform Security</t>
  </si>
  <si>
    <t>PR.PS-01</t>
  </si>
  <si>
    <t>Config baseline</t>
  </si>
  <si>
    <t>PR.PS-02</t>
  </si>
  <si>
    <t>Software maintenance</t>
  </si>
  <si>
    <t>PR.PS-03</t>
  </si>
  <si>
    <t>Hardware maintenance</t>
  </si>
  <si>
    <t>PR.PS-04</t>
  </si>
  <si>
    <t>Log generation</t>
  </si>
  <si>
    <t>PR.PS-05</t>
  </si>
  <si>
    <t>Secure development</t>
  </si>
  <si>
    <t xml:space="preserve">  PR.IR — Technology Infrastructure Resilience</t>
  </si>
  <si>
    <t>PR.IR-01</t>
  </si>
  <si>
    <t>Network integrity</t>
  </si>
  <si>
    <t>PR.IR-02</t>
  </si>
  <si>
    <t>Adverse event capacity</t>
  </si>
  <si>
    <t>PR.IR-03</t>
  </si>
  <si>
    <t>Backups</t>
  </si>
  <si>
    <t>NIST CSF 2.0 — DE: DETECT  |  Log(N) Pacific Azure Environment</t>
  </si>
  <si>
    <t xml:space="preserve">  DE.CM — Continuous Monitoring</t>
  </si>
  <si>
    <t>DE.CM-01</t>
  </si>
  <si>
    <t>Network monitoring</t>
  </si>
  <si>
    <t>DE.CM-02</t>
  </si>
  <si>
    <t>Physical environment</t>
  </si>
  <si>
    <t>DE.CM-03</t>
  </si>
  <si>
    <t>Personnel activity</t>
  </si>
  <si>
    <t>DE.CM-06</t>
  </si>
  <si>
    <t>External service monitoring</t>
  </si>
  <si>
    <t>DE.CM-09</t>
  </si>
  <si>
    <t>Vulnerability monitoring</t>
  </si>
  <si>
    <t xml:space="preserve">  DE.AE — Adverse Event Analysis</t>
  </si>
  <si>
    <t>DE.AE-02</t>
  </si>
  <si>
    <t>Event analysis</t>
  </si>
  <si>
    <t>DE.AE-03</t>
  </si>
  <si>
    <t>Incident correlation</t>
  </si>
  <si>
    <t>DE.AE-04</t>
  </si>
  <si>
    <t>Impact estimation</t>
  </si>
  <si>
    <t>DE.AE-06</t>
  </si>
  <si>
    <t>Incident declaration</t>
  </si>
  <si>
    <t>DE.AE-07</t>
  </si>
  <si>
    <t>Attack information</t>
  </si>
  <si>
    <t>DE.AE-08</t>
  </si>
  <si>
    <t>Incident prediction</t>
  </si>
  <si>
    <t>NIST CSF 2.0 — RS: RESPOND  |  Log(N) Pacific Azure Environment</t>
  </si>
  <si>
    <t xml:space="preserve">  RS.MA — Incident Management</t>
  </si>
  <si>
    <t>RS.MA-01</t>
  </si>
  <si>
    <t>Incident execution</t>
  </si>
  <si>
    <t>RS.MA-02</t>
  </si>
  <si>
    <t>Incident selection</t>
  </si>
  <si>
    <t>RS.MA-03</t>
  </si>
  <si>
    <t>Incident verification</t>
  </si>
  <si>
    <t>RS.MA-04</t>
  </si>
  <si>
    <t>Incident escalation</t>
  </si>
  <si>
    <t>RS.MA-05</t>
  </si>
  <si>
    <t>Incident termination</t>
  </si>
  <si>
    <t xml:space="preserve">  RS.AN — Incident Analysis</t>
  </si>
  <si>
    <t>RS.AN-03</t>
  </si>
  <si>
    <t>Root cause analysis</t>
  </si>
  <si>
    <t>RS.AN-06</t>
  </si>
  <si>
    <t>Actions catalogued</t>
  </si>
  <si>
    <t>Are all response actions taken during an incident documented — commands run, accounts disabled, VMs isolated via Defender?</t>
  </si>
  <si>
    <t>A threat hunt report template exists that includes real-time action logging as a defined and taught practice. During the Chinese attacker incident, a community member followed the template and produced a documented action log covering identified affected VMs, owner notifications, and remediation steps taken. The template is written down and taught as a structured methodology within the platform.</t>
  </si>
  <si>
    <t>The threat hunt report template is a teaching tool rather than a formal organizational incident response requirement. No formal owner is assigned to ensure the template is followed during every incident. Real-time action logging occurred during the Chinese attacker incident because a community member voluntarily followed the taught methodology, not because it was mandated organizationally.</t>
  </si>
  <si>
    <t>RS.AN-07</t>
  </si>
  <si>
    <t>Knowledge base</t>
  </si>
  <si>
    <t xml:space="preserve">  RS.CO — Incident Response Reporting</t>
  </si>
  <si>
    <t>RS.CO-02</t>
  </si>
  <si>
    <t>Internal reporting</t>
  </si>
  <si>
    <t>RS.CO-03</t>
  </si>
  <si>
    <t>External reporting</t>
  </si>
  <si>
    <t xml:space="preserve">  RS.MI — Incident Mitigation</t>
  </si>
  <si>
    <t>RS.MI-01</t>
  </si>
  <si>
    <t>Incident containment</t>
  </si>
  <si>
    <t>RS.MI-02</t>
  </si>
  <si>
    <t>Incident eradication</t>
  </si>
  <si>
    <t>NIST CSF 2.0 — RC: RECOVER  |  Log(N) Pacific Azure Environment</t>
  </si>
  <si>
    <t xml:space="preserve">  RC.RP — Incident Recovery Plan</t>
  </si>
  <si>
    <t>RC.RP-01</t>
  </si>
  <si>
    <t>Recovery plan</t>
  </si>
  <si>
    <t>RC.RP-02</t>
  </si>
  <si>
    <t>Recovery execution</t>
  </si>
  <si>
    <t>RC.RP-03</t>
  </si>
  <si>
    <t>Recovery communication</t>
  </si>
  <si>
    <t>RC.RP-04</t>
  </si>
  <si>
    <t>Recovery selection</t>
  </si>
  <si>
    <t>RC.RP-05</t>
  </si>
  <si>
    <t>Recovery order</t>
  </si>
  <si>
    <t xml:space="preserve">  RC.CO — Incident Recovery Communication</t>
  </si>
  <si>
    <t>RC.CO-03</t>
  </si>
  <si>
    <t>Public communications</t>
  </si>
  <si>
    <t>RC.CO-04</t>
  </si>
  <si>
    <t>Recovery feedback</t>
  </si>
  <si>
    <t>After a recovery event, are lessons learned documented and fed back into the recovery plan? Is the plan a living document?</t>
  </si>
  <si>
    <t>Risk Register — Log(N) Pacific NIST CSF 2.0 Assessment</t>
  </si>
  <si>
    <t>Populate from controls scored 1 or 2 in the assessment tabs. Score = Likelihood × Impact. Scores 15–25 = Critical.</t>
  </si>
  <si>
    <t>Risk ID</t>
  </si>
  <si>
    <t>Risk Description</t>
  </si>
  <si>
    <t>CSF Control
Ref</t>
  </si>
  <si>
    <t>Likelihood
(1–5)</t>
  </si>
  <si>
    <t>Impact
(1–5)</t>
  </si>
  <si>
    <t>Risk Score
(L×I)</t>
  </si>
  <si>
    <t>Treatment</t>
  </si>
  <si>
    <t>Treatment Notes</t>
  </si>
  <si>
    <t>R-001</t>
  </si>
  <si>
    <t>Log(N) Pacific has no document that defines the company's mission and how it governs its own security decisions as a business. This is separate from the student-facing user agreement which covers the training platform. Everything at the company level depends on Josh knowing what to do. If Josh is unavailable or the company grows, there is nothing written down to guide security decisions or show others how the company operates.</t>
  </si>
  <si>
    <t>Mitigate</t>
  </si>
  <si>
    <t>Add a section to GOV-001 that captures Log(N) Pacific's mission, governance structure, and what secure operations means for the business.</t>
  </si>
  <si>
    <t>R-002</t>
  </si>
  <si>
    <t>Log(N) Pacific does not have a standalone Information Security Policy that covers both the company and the Cyber Range. Without this document, there is no single reference point that defines security expectations, accountability, and rules for the admin team and the platform. This makes it harder to enforce consistent security behavior and establish accountability if something goes wrong.</t>
  </si>
  <si>
    <t>Add a section to GOV-001 that defines Log(N) Pacific's commitment to security, who is responsible for security decisions, and what security principles apply across the company and the Cyber Range. Use the existing architecture document and Platform Rules and Agreement as the starting point.</t>
  </si>
  <si>
    <t>R-003</t>
  </si>
  <si>
    <t>Log(N) Pacific does not have a defined review cycle for its security documentation. Security documents are updated reactively when something significant happens rather than on a regular schedule. Without a defined review cadence, security documentation can become outdated without anyone noticing, making it harder to maintain an accurate picture of the company's security posture as the company and the Cyber Range evolve.</t>
  </si>
  <si>
    <t>Add a review cadence to GOV-001 defining how often all security documentation is reviewed. At minimum, note the date of each review and what was changed. Define what triggers an out-of-cycle review such as a significant incident or major platform change.</t>
  </si>
  <si>
    <t>R-004</t>
  </si>
  <si>
    <t>Log(N) Pacific has no scheduled process for reviewing real threat activity in the Azure environment. Security oversight relies on Azure notifying Josh directly when something serious occurs, or on real threats being discovered incidentally during student threat hunt exercises — which are designed to find planted training scenarios, not real company threats. Without a proactive review process, a real attacker could establish a foothold in the environment and go undetected until the situation escalates to the point where Azure flags it.</t>
  </si>
  <si>
    <t>R-005</t>
  </si>
  <si>
    <t>Log(N) Pacific has no scheduled periodic review of cybersecurity risks. Risk decisions are revisited reactively when something significant happens rather than on a defined cadence. Without a regular review process, new risks could emerge or existing risk decisions could become outdated without the company being aware.</t>
  </si>
  <si>
    <t>Add a section to GOV-002 defining a minimum annual risk review cadence. Define what triggers an out-of-cycle review such as a significant incident, major platform change, or new vendor relationship. Document review outcomes and any changes to risk decisions.</t>
  </si>
  <si>
    <t>NIST CSF 2.0 Maturity Dashboard — Log(N) Pacific</t>
  </si>
  <si>
    <t>Average maturity scores auto-calculate from assessment tabs. Target: score 3+ across all functions. Scores below 2 require immediate remediation.</t>
  </si>
  <si>
    <t>Function</t>
  </si>
  <si>
    <t>Avg Maturity Score</t>
  </si>
  <si>
    <t>Controls Assessed</t>
  </si>
  <si>
    <t>% at Risk</t>
  </si>
  <si>
    <t>GV — Govern</t>
  </si>
  <si>
    <t>ID — Identify</t>
  </si>
  <si>
    <t>PR — Protect</t>
  </si>
  <si>
    <t>DE — Detect</t>
  </si>
  <si>
    <t>RS — Respond</t>
  </si>
  <si>
    <t>RC — Recover</t>
  </si>
  <si>
    <t>OVERALL AVG MATURITY</t>
  </si>
  <si>
    <t>TOTAL CONTROLS AT RISK (1–2)</t>
  </si>
  <si>
    <t>TOTAL CONTROLS ASSESSED</t>
  </si>
  <si>
    <t>Does Log(N) Pacific have an inventory of the devices used by admins to access the Azure environment?</t>
  </si>
  <si>
    <t>Log(N) Pacific is fully cloud-hosted on Azure with no organization-owned physical hardware. Admins access the Azure management plane and Cyber Range environment through their personally-owned workstations. Josh confirmed that no inventory of admin endpoint devices exists. There is no visibility into what devices are being used, whether they are patched, or whether endpoint protection is installed on them.</t>
  </si>
  <si>
    <t>No inventory of admin endpoint devices exists. Because admins access the Azure management plane from personal devices that are outside organizational control, Log(N) Pacific has no visibility into the security posture of those devices. A compromised admin workstation could provide an attacker with direct access to the Azure management plane.</t>
  </si>
  <si>
    <t>Josh Madakor confirmed no admin endpoint device inventory exists (questionnaire response), Cyber Range Architecture &amp; Engineering Document (fully cloud-hosted, admin workstations are personal devices)</t>
  </si>
  <si>
    <t>Add a section to ID-001 documenting all admin devices used to access the Azure environment. At minimum capture the device owner, device type, and whether basic security requirements are met such as OS patches current and endpoint protection installed. Review when admin team membership changes.</t>
  </si>
  <si>
    <t>Does Log(N) Pacific have an inventory of all software and cloud services in use across the company and the Cyber Range?</t>
  </si>
  <si>
    <t>The architecture document serves as the software asset inventory for Log(N) Pacific. It identifies all Azure services in use — Microsoft Sentinel, Defender for Endpoint, Tenable, Entra ID, Azure Compute, Azure Function, Azure Policy, and Log Analytics Workspace. Business tools including Skool, Stripe, and QuickBooks are also documented. Josh personally owns and maintains this document and updates it when significant changes occur.</t>
  </si>
  <si>
    <t>The software asset inventory is embedded in the architecture document rather than maintained as a standalone versioned asset register. No defined review schedule exists. Updates happen reactively when significant platform changes occur rather than on a regular cadence.</t>
  </si>
  <si>
    <t>Add a dedicated software asset inventory section to ID-001 that lists all tools and services in use. Define a review trigger — at minimum when new tools are adopted or existing tools are retired. Use the architecture document as the starting point.</t>
  </si>
  <si>
    <t>Does Log(N) Pacific have a current network architecture diagram showing the Azure environment?</t>
  </si>
  <si>
    <t>A full network architecture diagram exists and is documented in the architecture document. VNet topology, NSG inbound and outbound rules, and subnet configurations are all documented. A Google Drawings diagram exists as a visual reference. Josh personally owns and maintains this document and updates it when significant changes occur.</t>
  </si>
  <si>
    <t>The network diagram is embedded in the architecture document rather than maintained as a standalone versioned artifact. No defined review schedule exists. Updates happen reactively when significant platform changes occur rather than on a regular cadence.</t>
  </si>
  <si>
    <t>Cyber Range Architecture &amp; Engineering Document, Google Drawings architecture diagram</t>
  </si>
  <si>
    <t>Add a dedicated network diagram section to ID-001 that is versioned and updated whenever VNet configurations, NSG rules, or subnets change. Define a review trigger — at minimum after any significant infrastructure change.</t>
  </si>
  <si>
    <t>Does Log(N) Pacific have visibility into its persistent externally accessible assets across the company and the Cyber Range?</t>
  </si>
  <si>
    <t>Log(N) Pacific has three persistent assets with external exposure — two always-on company VMs used for student lab exercises and the Tenable scan engine VM. All three are documented in the architecture document. The Tenable scan engine is protected by its own NSG blocking all incoming traffic. Student VMs are dynamically provisioned with public IP addresses that are ephemeral by design and tied to the lifecycle of each VM. Inbound traffic to the Cyber Range subnet is intentionally unrestricted by design to support adversarial training scenarios and is documented as an accepted risk in the architecture document. Josh personally owns and maintains all documentation.</t>
  </si>
  <si>
    <t>The three persistent externally accessible assets are described in the architecture document in a technical context but are not formally documented as a tracked asset inventory with a defined review cadence. No process exists for periodically confirming that their security configuration and exposure profile remain appropriate.</t>
  </si>
  <si>
    <t>Cyber Range Architecture &amp; Engineering Document (always-on VMs, Tenable scan engine NSG, accepted inbound risk)</t>
  </si>
  <si>
    <t>Add a brief section to ID-001 listing the two always-on company VMs and the Tenable scan engine as persistent externally accessible assets. Note their security configuration and define a simple review trigger — at minimum after any major infrastructure change.</t>
  </si>
  <si>
    <t>Does Log(N) Pacific identify and specially manage privileged accounts across the company and the Cyber Range?</t>
  </si>
  <si>
    <t>Does Log(N) Pacific have a process for identifying vulnerabilities across the company and the Cyber Range?</t>
  </si>
  <si>
    <t>Log(N) Pacific relies on Defender, UEBA, and MFA as its primary security controls for the management plane. Tenable is deployed in the environment and is used primarily as a student training tool. Student threat hunt exercises occur weekly and are designed to hunt for planted attack scenarios — real vulnerabilities or threats may be discovered incidentally during these exercises but that is not their purpose. Azure notifies Josh directly when serious threats are identified externally.</t>
  </si>
  <si>
    <t>No formal vulnerability identification process exists for Log(N) Pacific as a company. The two always-on company VMs and the Tenable scan engine are not subject to any confirmed scheduled organizational vulnerability scan. Vulnerability identification at the company level relies entirely on passive detection through Defender and UEBA, incidental discovery during student exercises, or external notification from Azure.</t>
  </si>
  <si>
    <t>Cyber Range Architecture &amp; Engineering Document, Josh Madakor confirmed reliance on Defender, UEBA, and MFA for detection (questionnaire response)</t>
  </si>
  <si>
    <t>Add a section to ID-001 defining a minimum vulnerability identification process for the two always-on company VMs and the Tenable scan engine. At minimum establish a quarterly scan of these persistent assets using the Tenable capability already available in the environment. Document findings and assign an owner to review and track them to resolution.</t>
  </si>
  <si>
    <t>Does Log(N) Pacific consume and action threat intelligence to protect the company and the Cyber Range?</t>
  </si>
  <si>
    <t>Log(N) Pacific relies on Defender, UEBA, and MFA as its primary security controls. The majority of assets in the environment are ephemeral by design. The three persistent assets — two always-on company VMs and the Tenable scan engine — do not store any intellectual property. Microsoft Sentinel is deployed and operational but no threat intelligence feeds are configured.</t>
  </si>
  <si>
    <t>Not applicable. A formal threat intelligence program is not proportionate to the size, risk profile, and nature of this environment. The ephemeral design and absence of intellectual property significantly reduces the value of threat intelligence feeds for this organization.</t>
  </si>
  <si>
    <t>Cyber Range Architecture &amp; Engineering Document, Microsoft Sentinel Threat Intelligence blade (confirmed empty)</t>
  </si>
  <si>
    <t>Not applicable. If the company grows or begins storing sensitive data, enabling the Microsoft Defender Threat Intelligence connector in Sentinel would be a low-cost first step as it is available natively at no additional cost.</t>
  </si>
  <si>
    <t>Does Log(N) Pacific identify and document threats to the company and the Cyber Range?</t>
  </si>
  <si>
    <t>The STRIDE threat model and identified risk scenarios table are documented in the architecture document. The threat model covers insider threat from students, credential theft, identity compromise, and lateral movement. A real-world incident occurred approximately one year ago — incident reports were written, a post-incident review was conducted, and the threat model covered the attack scenario that materialized. Josh personally owns and maintains all documentation and updates it when significant events occur.</t>
  </si>
  <si>
    <t>The threat model was produced once during the initial system design phase. It is embedded in the architecture document rather than maintained as a standalone living document. No defined review cadence exists to ensure the threat model stays current as the environment and threat landscape evolve.</t>
  </si>
  <si>
    <t>Add a review trigger to GOV-002 requiring the threat model to be reviewed at minimum annually or after any major incident or significant platform change. Use the existing STRIDE methodology already in use as the foundation.</t>
  </si>
  <si>
    <t>Does Log(N) Pacific have a formal risk assessment process that combines asset inventory, threat identification, and vulnerability findings into a prioritized risk register?</t>
  </si>
  <si>
    <t>Add a section to GOV-002 defining a minimum annual risk assessment process that combines the existing asset inventory, threat model, and vulnerability findings into a prioritized risk register. Use the STRIDE methodology already in use as the foundation.</t>
  </si>
  <si>
    <t>Does Log(N) Pacific have a consistent method for prioritizing risks and vulnerabilities across the company and the Cyber Range?</t>
  </si>
  <si>
    <t>Does Log(N) Pacific document treatment decisions for identified risks across the company and the Cyber Range?</t>
  </si>
  <si>
    <t>The architecture document includes a risk scenarios table with documented treatment decisions for each identified risk — mitigate, accept, and transfer decisions are all present. The STRIDE threat model covers the same set of risks with mitigation status noted for each threat category. Real-world remediation actions have been taken following the Chinese attacker incident — NSG and outbound rules were tightened as a direct result of the findings. Josh personally owns and maintains all documentation.</t>
  </si>
  <si>
    <t>Risk treatment decisions are documented in the architecture document but are not captured in a standalone risk register with assigned owners and defined review cadence. The existing risk scenarios table is only revisited after major incidents or significant platform changes rather than on a defined schedule.</t>
  </si>
  <si>
    <t>Cyber Range Architecture &amp; Engineering Document (STRIDE table, specific risk scenarios table with treatment decisions, Risk Outlook section)</t>
  </si>
  <si>
    <t>Add a section to GOV-002 that formalizes the existing risk treatment decisions into a structured risk register format with assigned owners and a defined review cadence. Use the risk scenarios table already in the architecture document as the starting point.</t>
  </si>
  <si>
    <t>Does Log(N) Pacific have a security improvement plan or roadmap covering the company and the Cyber Range?</t>
  </si>
  <si>
    <t>Josh communicates planned platform improvements publicly through the Skool community and invites member input through voting. These posts cover platform features and content enhancements rather than security-specific improvements. No formal security improvement plan or roadmap with owners and target dates exists. Josh is hands-on and addresses security gaps reactively as they are identified.</t>
  </si>
  <si>
    <t>Not applicable. A formal security improvement plan is not proportionate to the size and structure of Log(N) Pacific. Josh's hands-on involvement and reactive approach to security improvements is adequate for a company of this size with a minimal attack surface and no intellectual property at risk.</t>
  </si>
  <si>
    <t>Skool platform community posts, Cyber Range Architecture &amp; Engineering Document</t>
  </si>
  <si>
    <t>Not applicable. As the company grows or the attack surface expands, establishing a lightweight security improvement roadmap with defined priorities and target dates would be a valuable next step.</t>
  </si>
  <si>
    <t>Does Log(N) Pacific feed findings from incidents and assessments back into security improvements?</t>
  </si>
  <si>
    <t>Admins at Log(N) Pacific access the Azure environment through personally owned devices that are outside organizational control. There is no inventory of these devices and no visibility into whether they are secure, patched, or protected. If a compromised admin device is used to access the Azure management plane, it could give an attacker direct access to the company and the Cyber Range.</t>
  </si>
  <si>
    <t>Add a section to ID-001 documenting all admin devices used to access the Azure environment. At minimum capture the device owner and device type. Review when admin team membership changes.</t>
  </si>
  <si>
    <t>Unused student accounts are not reviewed or removed. Log(N) Pacific auto-provisions Azure accounts for all paying members, but accounts that were never activated are not periodically reviewed or disabled. These dormant accounts expand the attack surface and could give an attacker authenticated access to the Cyber Range environment.</t>
  </si>
  <si>
    <t>Configure an automated rule in the Azure Function or Entra ID to disable and eventually remove student accounts that have not signed in within 90 days of provisioning. This reduces unnecessary attack surface from dormant accounts and aligns with the account lifecycle process documented in ID-001.</t>
  </si>
  <si>
    <t>Entra ID PIM Quick Start screen, PAA Report March 2 2026, Cyber Range Architecture and Engineering Document.</t>
  </si>
  <si>
    <t>R-008</t>
  </si>
  <si>
    <t>No formal vulnerability identification process exists for Log(N) Pacific as a company. Vulnerabilities in the two always-on company VMs and the Tenable scan engine may go undetected until Azure notifies Josh directly or a student incidentally discovers them during a lab exercise. This reactive approach increases the chance that a real vulnerability becomes a serious incident before it is identified and addressed.</t>
  </si>
  <si>
    <t>R-009</t>
  </si>
  <si>
    <t>Establish a minimum quarterly vulnerability scan of the two always-on company VMs and the Tenable scan engine using the Tenable capability already available in the environment. Assign a staff member to review findings and track them to resolution. Add this process to ID-001.</t>
  </si>
  <si>
    <t>Log(N) Pacific has the individual components of a formal risk assessment in place. An asset inventory is embedded in the architecture document, a STRIDE threat model and risk scenarios table are documented, and Tenable is available in the environment. Each component is documented and maintained by Josh, but they have never been formally combined into a single risk assessment process.</t>
  </si>
  <si>
    <t>The individual components of a risk assessment exist but are not formally combined into a unified process. There is no defined cadence for conducting risk assessments and no single document that brings asset inventory, threat identification, and vulnerability findings together into a prioritized risk register.</t>
  </si>
  <si>
    <t>Cyber Range Architecture and Engineering Document (asset inventory, STRIDE table, risk scenarios table).</t>
  </si>
  <si>
    <t>Log(N) Pacific has an implicit risk prioritization method documented in the architecture document. The specifically identified risk scenarios table assesses Impact and Likelihood for each identified risk scenario and includes a Mitigation Status column. This gives Josh a basis for determining which risks to address first. Josh personally owns and maintains this document.</t>
  </si>
  <si>
    <t>The risk prioritization method is not tied to a formal numerical scoring scale or defined priority tiers. There are no remediation timelines attached to each risk and no defined review cadence to ensure the table stays current as the environment evolves.</t>
  </si>
  <si>
    <t>Cyber Range Architecture and Engineering Document (specifically identified risk scenarios table with Impact, Likelihood, and Mitigation Status columns).</t>
  </si>
  <si>
    <t>Add a section to GOV-002 that formalizes the existing Impact and Likelihood approach into a simple scoring methodology with defined priority tiers and remediation timelines. Use the risk scenarios table already in the architecture document as the starting point.</t>
  </si>
  <si>
    <t>Log(N) Pacific has a demonstrated track record of feeding incident findings back into security improvements. The Chinese attacker incident resulted in a public video, a Skool platform post, a community threat hunt report, and direct security improvements — outbound NSG rules were significantly tightened as a direct result. Josh personally owns and maintains all documentation and drives improvements reactively following significant incidents.</t>
  </si>
  <si>
    <t>The lessons learned process is not formal or consistent. It depends on the significance of the incident and Josh's personal judgment about what to document. Smaller incidents may not receive the same level of documentation and follow-through as major ones.</t>
  </si>
  <si>
    <t>Public incident video recorded by Josh Madakor, Skool platform post, community threat hunt report, Cyber Range Architecture and Engineering Document (NSG hardening following Chinese attacker incident).</t>
  </si>
  <si>
    <t>Add a simple lessons learned template to RS-001 defining what must be documented after every significant incident, who is responsible for completing it, and how findings are tracked to resolution.</t>
  </si>
  <si>
    <t>Are all identities managed through Entra ID? Is there a defined process for provisioning and deprovisioning user accounts?</t>
  </si>
  <si>
    <t>Log(N) Pacific manages all identities through Entra ID. Student account provisioning and deprovisioning is fully automated via Azure Function tied to Skool community membership. Admin account management is handled separately by Josh, who tracks admin access in a personal spreadsheet and deprovisions manually when changes occur.</t>
  </si>
  <si>
    <t>No standalone provisioning and deprovisioning policy exists outside of the architecture document. The admin account management process is not written down, meaning it relies entirely on Josh's personal knowledge. If Josh is unavailable, no one else has the information needed to manage admin accounts.</t>
  </si>
  <si>
    <t>Entra ID, Cyber Range Architecture and Engineering Document, Josh Madakor confirmed admin access tracked via personal spreadsheet (questionnaire response).</t>
  </si>
  <si>
    <t>Add a section to PR-001 documenting both the automated student provisioning process and the manual admin provisioning process. Include the steps Josh follows when adding or removing admin access so the process is not reliant on his personal knowledge alone.</t>
  </si>
  <si>
    <t>Is MFA enforced for all users accessing the Azure environment?</t>
  </si>
  <si>
    <t>MFA is enforced for all users via Security Defaults including students and all privileged accounts. Josh confirmed MFA is consistently applied across all accounts. Josh documents the MFA requirement through an onboarding video that all users must watch before getting access to the Azure environment. Sign-in logs are collected and forwarded to Sentinel.</t>
  </si>
  <si>
    <t>No periodic review exists to confirm that all accounts remain MFA compliant over time. Compliance is assumed based on Security Defaults being enabled but is not actively verified on a schedule.</t>
  </si>
  <si>
    <t>Entra ID Security Defaults, Sentinel sign-in logs, Josh Madakor onboarding video.</t>
  </si>
  <si>
    <t>Add a simple step to PR-001 for Josh or a staff member to run a quarterly Entra ID sign-in report to confirm all accounts remain MFA compliant. This does not require a formal review program, just a periodic confirmation check.</t>
  </si>
  <si>
    <t>Does Log(N) Pacific appropriately limit and manage privileged access across the company and the Cyber Range?</t>
  </si>
  <si>
    <t>Entra ID, PAA Report March 2 2026, Cyber Range Architecture and Engineering Document.</t>
  </si>
  <si>
    <t>Does Log(N) Pacific assign users the minimum access needed for their role across the company and the Cyber Range?</t>
  </si>
  <si>
    <t>Azure RBAC, Entra ID, Cyber Range Architecture and Engineering Document.</t>
  </si>
  <si>
    <t>Does Log(N) Pacific control and restrict access to its systems and cloud environment to authorized personnel only?</t>
  </si>
  <si>
    <t>Log(N) Pacific is fully cloud-based with no physical infrastructure. Cloud console access is restricted through Entra ID credentials and RBAC role assignments. Student accounts are restricted from modifying tenant settings and billing data. MFA is enforced for all accounts. Access control is technically enforced and working correctly across the environment.</t>
  </si>
  <si>
    <t>Access control relies on technical controls alone with no written policy documenting who is authorized to access what. For a company this size this is a minor gap as the technical controls are working correctly and consistently applied.</t>
  </si>
  <si>
    <t>Entra ID, Azure RBAC, Cyber Range Architecture and Engineering Document.</t>
  </si>
  <si>
    <t>Add a brief section to PR-001 documenting authorized access levels for student accounts and admin accounts within the Azure environment.</t>
  </si>
  <si>
    <t>Does Log(N) Pacific periodically review user accounts and access levels to identify and remove inactive or over-privileged accounts?</t>
  </si>
  <si>
    <t>Does Log(N) Pacific provide security awareness training to all users and staff across the company and the Cyber Range?</t>
  </si>
  <si>
    <t>Security awareness training is delivered through the Cyber Range platform in video format. The first mandatory video covers security policy and acceptable use — users must accept terms before accessing any training content. Completion is tracked through exams and certificates of completion. Josh regularly shares lessons learned from real incidents through community posts and videos. Training content is continuously updated to follow industry trends. Staff training is informal and not formally documented or tracked.</t>
  </si>
  <si>
    <t>No formal security awareness training program exists for staff. Training for staff relies on Josh informally sharing knowledge and lessons learned without a defined curriculum, completion tracking, or documented cadence.</t>
  </si>
  <si>
    <t>Cyber Range training platform, completion certificates.</t>
  </si>
  <si>
    <t>Add a brief annual staff security awareness touchpoint with a simple agenda and attendance record to PR-001.</t>
  </si>
  <si>
    <t>The team works directly on a cybersecurity training platform, giving them continuous exposure to security tools, concepts, and practices as part of their daily work. Josh meets with the team at least once a year in person for training and professional development. No formal documentation of training content, curriculum, or attendance records exists for staff level training.</t>
  </si>
  <si>
    <t>Role-specific security training is not formally documented. There is no written curriculum, attendance record, or defined cadence confirming what security topics are covered for staff in their specific roles.</t>
  </si>
  <si>
    <t>Josh Madakor public statement confirming annual team meeting for training and professional development, Cyber Range training platform.</t>
  </si>
  <si>
    <t>Does Log(N) Pacific protect data at rest across all systems and platforms used by the company?</t>
  </si>
  <si>
    <t>Log(N) Pacific is fully cloud-based and relies on Azure default encryption for all storage accounts and VM disks. Student email addresses are hashed via SHA-256 before becoming Azure usernames, effectively pseudonymizing all identities in the environment. Payment data is handled entirely by Skool and Stripe and never touches the Log(N) Pacific environment. No default encryption settings have been disabled or overridden.</t>
  </si>
  <si>
    <t>The encryption standard and data minimization practices are embedded in the architecture document but are not explicitly stated as a deliberate organizational decision in a policy document.</t>
  </si>
  <si>
    <t>Azure default encryption, Cyber Range Architecture and Engineering Document.</t>
  </si>
  <si>
    <t>Add a brief section to PR-002 confirming Azure default encryption as the organizational standard for data at rest, SHA-256 pseudonymization of student identities, and payment data being fully out of scope via Skool and Stripe. This requires minimal effort and establishes a clean foundation for future SOC 2 readiness.</t>
  </si>
  <si>
    <t>Does Log(N) Pacific protect data in transit across all systems and platforms used by the company?</t>
  </si>
  <si>
    <t>All services used by Log(N) Pacific enforce HTTPS by default. The Cyber Range is intentionally designed with an open and vulnerable network configuration to simulate real world attack scenarios for students. This is a deliberate architectural decision that is publicly documented in the architecture document and communicated to all students through onboarding videos and platform content. No sensitive data or intellectual property is transmitted in plain text across the environment.</t>
  </si>
  <si>
    <t>Data in transit protection is working correctly and deliberately designed, but is not consolidated into a single authoritative policy document as an explicit organizational standard.</t>
  </si>
  <si>
    <t>Cyber Range Architecture and Engineering Document, NSG outbound rules, Cyber Range onboarding videos and platform content.</t>
  </si>
  <si>
    <t>Add a brief section to PR-002 confirming HTTPS as the organizational standard for data in transit and acknowledging the intentionally open network design as a deliberate architectural decision tied to the platform mission.</t>
  </si>
  <si>
    <t>Does Log(N) Pacific identify and handle data appropriately across the company and the Cyber Range?</t>
  </si>
  <si>
    <t>Student email addresses are pseudonymized via SHA-256 hashing before becoming Azure usernames. Sentinel logs show hashed usernames only. Payment data is handled entirely by Skool and Stripe and never touches the Log(N) Pacific environment. PCI is out of scope. Data handling practices are deliberately designed and documented in the architecture document.</t>
  </si>
  <si>
    <t>Data handling practices are embedded in the architecture document but are not consolidated into a single policy document as an explicit organizational standard.</t>
  </si>
  <si>
    <t>Cyber Range Architecture and Engineering Document, Azure Function provisioning process.</t>
  </si>
  <si>
    <t>Add a brief section to PR-002 confirming data types in scope, how each is handled, and that payment data is fully out of scope via Skool and Stripe.</t>
  </si>
  <si>
    <t>Does Log(N) Pacific define and maintain secure configurations for systems and devices used across the company and the Cyber Range?</t>
  </si>
  <si>
    <t>Azure Policy enforces VM size and disk type restrictions across the environment. The Tenable scan engine is protected by a dedicated NSG that blocks all incoming traffic. Student VMs are intentionally vulnerable by design to support adversarial emulation and student learning. These decisions are documented in the architecture document.</t>
  </si>
  <si>
    <t>No defined review cadence exists to confirm that configuration controls remain appropriate as the environment evolves over time.</t>
  </si>
  <si>
    <t>Azure Policy, Cyber Range Architecture and Engineering Document.</t>
  </si>
  <si>
    <t>No immediate action required given the current company size, mission, and structure. Revisit if the company grows or pursues a formal SOC 2 audit.</t>
  </si>
  <si>
    <t>Does Log(N) Pacific keep software and systems up to date across the company and the Cyber Range?</t>
  </si>
  <si>
    <t>Microsoft manages all underlying infrastructure patching for Azure hosted services. Student VMs are ephemeral and rebuilt regularly making OS patching not applicable. The Tenable scan engine receives updates directly from Tenable through its cloud platform on port 8834. Admin team members access the Azure management plane from personal workstations that are not managed or monitored by Log(N) Pacific.</t>
  </si>
  <si>
    <t>Admin team members use personal workstations to access the Azure management plane. Log(N) Pacific has no visibility into whether those devices are kept up to date. A compromised admin device could provide an attacker with a pathway into the Azure management plane.</t>
  </si>
  <si>
    <t>Cyber Range Architecture and Engineering Document, NSG outbound rules confirming port 8834 for Tenable updates.</t>
  </si>
  <si>
    <t>Does Log(N) Pacific maintain and track hardware used across the company?</t>
  </si>
  <si>
    <t>Log(N) Pacific is fully cloud-based with no company owned hardware. The admin team accesses the Azure management plane from personal workstations that are not owned or managed by Log(N) Pacific. Josh confirmed no admin endpoint device inventory exists. MFA is enforced for all accounts accessing the management plane.</t>
  </si>
  <si>
    <t>No hardware inventory exists for personal workstations used by the admin team to access the Azure management plane. Log(N) Pacific has no visibility into the devices being used to administer its environment.</t>
  </si>
  <si>
    <t>Cyber Range Architecture and Engineering Document, Josh Madakor confirmed no admin endpoint device inventory exists (questionnaire response).</t>
  </si>
  <si>
    <t>Does Log(N) Pacific generate and centrally collect logs from all systems and services used across the company and the Cyber Range?</t>
  </si>
  <si>
    <t>Log(N) Pacific has a fully built and documented log aggregation architecture. All major systems forward logs to Log Analytics and Sentinel. Management plane logs are retained for 720 days. MDE automatically collects endpoint telemetry from all VMs. Log review at the company level is driven by automated alerting from MDE and Sentinel rather than a manual review process.</t>
  </si>
  <si>
    <t>No formal company level log review cadence exists. The company relies on automated alerting for detection rather than proactive log review.</t>
  </si>
  <si>
    <t>Microsoft Sentinel, Log Analytics, MDE, Cyber Range Architecture and Engineering Document.</t>
  </si>
  <si>
    <t>No immediate action required given the current company size, mission, and structure. Automated alerting from MDE and Sentinel provides adequate detection capability. Revisit if the company grows or pursues a formal SOC 2 audit.</t>
  </si>
  <si>
    <t>Does Log(N) Pacific follow secure development practices when building and deploying code across the company?</t>
  </si>
  <si>
    <t>Custom code including Azure Function automation scripts and local Python scripts is developed by Josh with AI assistance. Josh runs security checks on code before deployment and tests new code in a trial environment before pushing it to production. This development and testing process is consistent and deliberately applied but not formally documented.</t>
  </si>
  <si>
    <t>The development and testing process is not documented as an organizational standard. If the team grows or Josh is unavailable, there is no written record of what the development process looks like.</t>
  </si>
  <si>
    <t>Cyber Range Architecture and Engineering Document, Azure Function, local Python scripts.</t>
  </si>
  <si>
    <t>Add a brief note to PR-001 documenting the current development and testing process as a deliberate organizational practice. This requires minimal effort and establishes a clean foundation for future SOC 2 readiness.</t>
  </si>
  <si>
    <t>Does Log(N) Pacific configure and maintain network controls to restrict unnecessary traffic across the company and the Cyber Range?</t>
  </si>
  <si>
    <t>NSGs are configured and attached to all subnets. Inbound traffic within the Cyber Range is intentionally unrestricted to support adversarial emulation and student training. Outbound traffic is restricted to specific ports required for platform operations and student lab activities. The Tenable scan engine has a dedicated NSG blocking all incoming traffic. Student VMs are automatically shut down nightly and cleaned up after a period of inactivity. Each student is limited to one active VM at a time. The lesson design requires students to build fresh VMs regularly, naturally limiting the exposure window of any individual VM. These are deliberate architectural decisions documented in the architecture document.</t>
  </si>
  <si>
    <t>Outbound port configurations are not consolidated into a single document with explicit business justifications for each allowed port.</t>
  </si>
  <si>
    <t>Cyber Range Architecture and Engineering Document, NSG outbound rules, Azure Function automation.</t>
  </si>
  <si>
    <t>Student accounts are automatically provisioned and deprovisioned through the Azure Function when students join or leave the Skool community. Admin access is tracked manually by Josh in a personal spreadsheet. No periodic access reviews are conducted for any account type. Student VMs are automatically shut down nightly, limited to one per student, and cleaned up after inactivity, which limits the damage a compromised dormant account could cause.</t>
  </si>
  <si>
    <t>Entra ID, Azure Function, Cyber Range Architecture and Engineering Document.</t>
  </si>
  <si>
    <t>No automated process exists to identify and disable student accounts that have never been used or have been inactive for an extended period. These dormant accounts expand the attack surface unnecessarily.</t>
  </si>
  <si>
    <t>Configure an automated rule in the Azure Function or Entra ID to disable student accounts that have not signed in within 90 days of provisioning. Since getting new credentials is simple and self-service, this does not meaningfully disrupt the student experience but significantly reduces unnecessary attack surface.</t>
  </si>
  <si>
    <t>Does Log(N) Pacific maintain an authoritative and maintained list of all user accounts across the company and the Cyber Range?</t>
  </si>
  <si>
    <t>Entra ID is the authoritative identity provider. Student account provisioning and deprovisioning is fully automated via Azure Function tied to Skool community membership. A security group exists for Cyber Range members. A scoped App Registration and breakglass account are documented in the architecture document. Josh tracks admin access in a personal spreadsheet. Student VMs are automatically shut down nightly, limited to one per student, and cleaned up after inactivity, which naturally limits the damage a compromised dormant account could cause.</t>
  </si>
  <si>
    <t>No automated process exists to identify and disable student accounts that have never been used or have been inactive for an extended period. These dormant accounts expand the attack surface unnecessarily even though the VM lifecycle controls limit the potential damage.</t>
  </si>
  <si>
    <t>Configure an automated rule in the Azure Function or Entra ID to disable student accounts that have not signed in within 90 days of provisioning. Add an account lifecycle process to ID-001 documenting this as a deliberate organizational standard.</t>
  </si>
  <si>
    <t>Does Log(N) Pacific have the capacity to maintain operations during an adverse event or cyberattack?</t>
  </si>
  <si>
    <t>A warm standby architecture exists and has been activated and tested. Platform code and configuration are stored in version controlled repositories in GitHub and Azure DevOps. RTO is 24 hours. RPO is not applicable given the ephemeral nature of the environment. Quarterly Entra ID user base exports are documented in the architecture document as part of the recovery strategy but Josh confirmed these are not currently happening and there is no evidence of the last export.</t>
  </si>
  <si>
    <t>Quarterly Entra ID user base exports are not being performed despite being documented as part of the recovery strategy. Without current user base exports, recovering user accounts in a disaster scenario would be more difficult and time consuming.</t>
  </si>
  <si>
    <t>Cyber Range Architecture and Engineering Document, Josh Madakor questionnaire response confirming warm standby has been activated and tested, Josh Madakor confirmed quarterly exports not happening.</t>
  </si>
  <si>
    <t>Implement quarterly Entra ID user base exports as documented in the architecture document and store them securely. This is a low effort task that directly supports the documented recovery strategy.</t>
  </si>
  <si>
    <t>Does Log(N) Pacific have a backup and recovery strategy for critical systems? Are recovery objectives defined and tested?</t>
  </si>
  <si>
    <t>A backup and recovery strategy is documented in the architecture document. The environment is ephemeral by design, so there are no traditional VM or database backups. Recovery relies on a warm standby in a parallel Azure tenant and platform code stored in version controlled repositories. RTO is defined at 24 hours. RPO is explicitly not applicable given the ephemeral design. Josh confirmed the warm standby architecture has been activated and tested.</t>
  </si>
  <si>
    <t>Quarterly Entra ID user base exports, which are part of the documented recovery strategy, are not being performed. This export gap is already captured in PR.IR-02.</t>
  </si>
  <si>
    <t>Cyber Range Architecture and Engineering Document, Josh Madakor confirmed warm standby has been activated and tested (questionnaire response).</t>
  </si>
  <si>
    <t>See PR.IR-02 for the quarterly Entra ID export remediation.</t>
  </si>
  <si>
    <t>Log(N) Pacific identifies privileged accounts through Entra ID but does not specially manage them. MFA is enforced for all accounts including privileged accounts, a breakglass account is documented, and a scoped Azure App Registration serves as the automation service account. All privileged role assignments are permanent. Five permanent Global Administrator assignments exist, including the automation service principal and an account tied to a personal Gmail address belonging to Josh.</t>
  </si>
  <si>
    <t>Two accounts hold Global Administrator access that should not be structured this way. The automation service principal only needs scoped permissions for its automation tasks. Josh's Global Administrator account is tied to a personal Gmail address rather than a centrally managed company identity, meaning it does not benefit from the same organizational identity governance as a standard company account would.</t>
  </si>
  <si>
    <t>Remove Global Administrator from the automation service principal and replace with scoped permissions limited to what its tasks require. Migrate Josh's Global Administrator access to a properly managed company identity rather than a personal Gmail address.</t>
  </si>
  <si>
    <t>Privileged accounts are managed through Entra ID. MFA is enforced across all accounts including privileged accounts. A breakglass account is documented in the architecture document. A scoped Azure App Registration serves as the automation service account. All privileged role assignments are permanent. Five permanent Global Administrator assignments exist, including the automation service principal and an account tied to a personal Gmail address belonging to Josh.</t>
  </si>
  <si>
    <t>The automation service principal holds Global Administrator access beyond what its function requires. Josh's Global Administrator account is tied to a personal Gmail address rather than a centrally managed company identity, meaning it does not benefit from the same organizational identity governance as a standard company account would.</t>
  </si>
  <si>
    <t>Student accounts are assigned near-admin RBAC roles scoped to their own resources, an intentional and accepted design decision. At the admin level, five permanent Global Administrator assignments exist, including the automation service principal and an account tied to a personal Gmail address belonging to Josh.</t>
  </si>
  <si>
    <t>The automation service principal holds access beyond what its function requires. Josh's Global Administrator account being tied to a personal Gmail address rather than a company-managed identity is an identity governance gap rather than a role appropriateness issue.</t>
  </si>
  <si>
    <t>See PR.AA-03. Remove Global Administrator from the automation service principal and migrate Josh's Global Administrator access to a properly managed company identity.</t>
  </si>
  <si>
    <t>ID.AM-07, PR.AA-03, PR.AA-04</t>
  </si>
  <si>
    <t>Two accounts hold Global Administrator access that should not. The automation service principal only needs scoped permissions for its automation tasks, not full tenant control. Josh also holds Global Administrator access through a personal Gmail address instead of a company-managed identity. A personal email address used for everyday activity carries a higher chance of being targeted by phishing or exposed in an unrelated breach. It also makes it harder for Log(N) Pacific to apply the same consistent security requirements across every Global Administrator account, since this one is not part of the company's own email system.</t>
  </si>
  <si>
    <t>Remove Global Administrator from the automation service principal and replace with scoped permissions limited to what its tasks require. Migrate Josh's Global Administrator access to a company-managed identity instead of a personal Gmail address. Add a brief note to ID-001 listing all privileged accounts and their assigned roles.</t>
  </si>
  <si>
    <t>Add a section to PR-001 documenting the admin provisioning and deprovisioning process, including the steps Josh currently follows. This gives the company something to reference if Josh is unavailable or if this task ever needs to be delegated.</t>
  </si>
  <si>
    <t>R-010</t>
  </si>
  <si>
    <t>The admin account provisioning and deprovisioning process is not documented anywhere. Josh currently manages this manually using his own knowledge and a personal spreadsheet. If Josh becomes unavailable or the company grows and needs to delegate this task, there is no written process to follow, and admin account changes could be delayed or handled inconsistently.</t>
  </si>
  <si>
    <t>R-006</t>
  </si>
  <si>
    <t>R-007</t>
  </si>
  <si>
    <t>R-011</t>
  </si>
  <si>
    <t>Admin access to the Azure environment relies on personal devices that Log(N) Pacific does not manage or track. Because these devices are personal, they could be lost, stolen, or compromised without the company's knowledge, and there is no way to confirm whether they are reasonably secure.</t>
  </si>
  <si>
    <t>PR.PS-02, PR.PS-03</t>
  </si>
  <si>
    <t>No further action required. MFA enforcement on the management plane is an adequate compensating control for unmanaged personal devices at the company's current size.</t>
  </si>
  <si>
    <t>No further action required. A formal hardware inventory is not proportionate for a company of this size with a small, stable admin team. MFA enforcement remains the primary control protecting the management plane.</t>
  </si>
  <si>
    <t>Accept</t>
  </si>
  <si>
    <t>MFA enforcement on all accounts accessing the management plane is the primary and sufficient control for this risk given the size of the admin team. A formal device inventory does not meaningfully reduce risk at this scale and is not required.</t>
  </si>
  <si>
    <t>No further action required. The team's daily exposure to security concepts through their work, combined with annual in-person training, is an adequate substantive control for a company of this size. Formal documentation does not meaningfully reduce risk here.</t>
  </si>
  <si>
    <t>Does Log(N) Pacific monitor network traffic for anomalies across the company's Azure environment?</t>
  </si>
  <si>
    <t>NSG flow logs and network telemetry are forwarded to Log Analytics and surfaced in Sentinel. Josh confirmed the company relies on Defender, UEBA, and MFA rather than company-managed Sentinel analytics rules to detect threats to the management plane. All Sentinel analytics rules in the environment are student-created for lab practice rather than organizational detection rules.</t>
  </si>
  <si>
    <t>Detection of true network traffic anomalies, as opposed to identity and endpoint based anomalies, is not directly covered by Defender, UEBA, or MFA. These three controls protect identity and endpoints but do not specifically analyze NSG flow log patterns for unusual network behavior.</t>
  </si>
  <si>
    <t>Microsoft Sentinel, Log Analytics, Josh Madakor confirmed reliance on Defender, UEBA, and MFA (questionnaire response).</t>
  </si>
  <si>
    <t>No immediate action required given the current company size and structure. Defender, UEBA, and MFA provide reasonable compensating coverage for management plane threats. A dedicated network anomaly detection rule is a low priority enhancement to consider if the company grows.</t>
  </si>
  <si>
    <t>Is the physical environment monitored to detect potential security events? For a cloud-only company like Log(N) Pacific, this translates to monitoring the health and availability of the Azure platform.</t>
  </si>
  <si>
    <t>Configure Azure Service Health alerts for the subscription to notify Josh of planned maintenance, service outages, and health advisories. Configure basic Azure Monitor alert rules for Log Analytics, Sentinel, and company VMs to detect degraded or unavailable states. Both are free, built-in Azure features requiring minimal setup time.</t>
  </si>
  <si>
    <t>Does Log(N) Pacific review user activity logs for anomalous behavior across the company?</t>
  </si>
  <si>
    <t>Entra ID sign-in logs, Azure Activity logs, and MDE telemetry all flow into Log Analytics and are surfaced in Sentinel. Josh confirmed the company relies on Defender, UEBA, and MFA rather than company-managed Sentinel analytics rules to detect anomalous behavior. Community threat hunts occur every two to three weeks but are structured student training exercises with pre-designed scenarios, not organizational threat hunting.</t>
  </si>
  <si>
    <t>Defender and UEBA provide automated behavioral detection for identity and endpoint activity, but there is no documented process for Josh to periodically review activity logs himself as an additional layer beyond automated alerting.</t>
  </si>
  <si>
    <t>No immediate action required given the current company size and structure. Defender and UEBA provide reasonable automated coverage for personnel activity anomalies. Revisit if the company grows or pursues a formal SOC 2 audit.</t>
  </si>
  <si>
    <t>Are Tenable scan results actively monitored against the company's own assets, separate from its use as a student training tool?</t>
  </si>
  <si>
    <t>Tenable is deployed in the environment and used primarily by students for lab exercises. Josh has run scans against the two company-owned VMs before, but as a teaching demonstration showing students how vulnerability scanning works, not as a deliberate organizational security practice.</t>
  </si>
  <si>
    <t>The two company-owned VMs have been scanned only incidentally during teaching demonstrations, not as part of a deliberate, recurring organizational practice. Although they hold no intellectual property and the standard recovery approach is to wipe and rebuild, nothing currently confirms whether they carry a known, exploitable vulnerability before a compromise occurs.</t>
  </si>
  <si>
    <t>Tenable (deployed in environment; scans against company-owned VMs confirmed as teaching demonstrations, not organizational practice).</t>
  </si>
  <si>
    <t>Does Log(N) Pacific analyze security events to detect known attack patterns against the management plane?</t>
  </si>
  <si>
    <t>Microsoft Sentinel is deployed and actively ingesting logs. Josh confirmed the company relies on Defender, UEBA, and MFA rather than company-managed Sentinel analytics rules to detect management plane threats such as credential theft, privilege escalation, and impossible travel. Students practice creating analytics rules and MITRE ATT&amp;CK mapping as part of the training program, separate from organizational detection.</t>
  </si>
  <si>
    <t>Defender and UEBA provide behavioral detection for identity and endpoint threats, but there is no documented mapping confirming which MITRE ATT&amp;CK techniques relevant to this environment are actually covered by those tools versus left unaddressed.</t>
  </si>
  <si>
    <t>Microsoft Sentinel, Josh Madakor confirmed reliance on Defender, UEBA, and MFA (questionnaire response).</t>
  </si>
  <si>
    <t>No immediate action required given the current company size and structure. Defender and UEBA provide reasonable automated coverage for management plane threats. Revisit if the company grows or pursues a formal SOC 2 audit.</t>
  </si>
  <si>
    <t>Does Log(N) Pacific correlate events from multiple sources to identify multi-stage attacks against the management plane?</t>
  </si>
  <si>
    <t>Multiple log sources flow into Sentinel — MDE, Entra ID, Azure Activity, M365, and NSG flow logs. Josh confirmed the company relies on Defender, UEBA, and MFA, which already perform automated cross-signal correlation as part of their built-in behavioral detection. Students practice manual multi-source correlation as part of the training program, separate from organizational detection.</t>
  </si>
  <si>
    <t>No documented confirmation of which specific multi-stage attack scenarios Defender's built-in correlation actually covers versus what would require a custom Sentinel rule.</t>
  </si>
  <si>
    <t>Microsoft Sentinel, Defender for Endpoint, Josh Madakor confirmed reliance on Defender, UEBA, and MFA (questionnaire response).</t>
  </si>
  <si>
    <t>No immediate action required given the current company size and structure. Defender's built-in correlation provides reasonable coverage for multi-stage attack detection. Revisit if the company grows or pursues a formal SOC 2 audit.</t>
  </si>
  <si>
    <t>When an incident is detected, can Log(N) Pacific determine which assets are affected and how far the compromise has spread?</t>
  </si>
  <si>
    <t>Blast radius estimation capability was demonstrated during a real incident where an external attacker compromised student VMs. Josh identified the affected VMs, notified owners, and re-imaged the compromised machines to stop the spread. Josh confirmed his team can respond to incidents without him if needed. The environment is split across multiple Azure subscriptions, each with its own separate VNet, which naturally limits how far a compromise in one subscription can spread into others. There is no intellectual property in the environment, so the focus during an incident is containment, not data exposure.</t>
  </si>
  <si>
    <t>The team can respond to incidents without Josh, but there is no written guide for figuring out which accounts or VMs are affected during a new incident, or for confirming whether a compromise has stayed contained to a single subscription as the network design intends. This knowledge lives in the team's experience rather than something written down.</t>
  </si>
  <si>
    <t>Chinese attacker incident (YouTube video and community post), Josh Madakor confirmed team can respond without him (questionnaire response), Cyber Range Architecture and Engineering Document (subscription and VNet segmentation).</t>
  </si>
  <si>
    <t>Write a short checklist the team can follow during an incident to figure out which accounts and VMs are affected, confirm whether the compromise stayed within one subscription, and notify the right people. This writes down what the team already knows how to do.</t>
  </si>
  <si>
    <t>Is threat intelligence actively used to enrich security alerts at Log(N) Pacific?</t>
  </si>
  <si>
    <t>No threat intelligence integration is configured in Sentinel or Defender.</t>
  </si>
  <si>
    <t>No threat intelligence feed is connected. Given the company's reliance on Defender, UEBA, and MFA rather than company-managed Sentinel alerts, and the limited practical benefit of threat intelligence matching in a shared environment with mixed legitimate, simulated, and bot traffic, this gap does not justify the added overhead of enabling and maintaining a new feed.</t>
  </si>
  <si>
    <t>Microsoft Sentinel (TI blade not configured); no third-party threat intelligence feeds identified.</t>
  </si>
  <si>
    <t>No action required. The marginal detection value does not justify the added overhead of introducing and maintaining another feature for a lean team of this size.</t>
  </si>
  <si>
    <t>Are Sentinel Fusion and machine learning-based detections enabled to surface low-signal multi-stage attack patterns?</t>
  </si>
  <si>
    <t>Sentinel Fusion is confirmed not enabled. ML-based detections are also not confirmed as enabled. No automated multi-stage attack pattern detection or low-signal correlation is in use at the organizational level.</t>
  </si>
  <si>
    <t>Sentinel Fusion is a built-in, no-cost correlation engine that works against data already generated by Defender and Entra ID, concentrated around identity and management plane activity. With it disabled, multi-stage attack chains targeting admin accounts would not be automatically surfaced.</t>
  </si>
  <si>
    <t>Microsoft Sentinel (Fusion confirmed not enabled).</t>
  </si>
  <si>
    <t>Enable Sentinel Fusion. This is a one-time configuration change with no licensing cost and no ongoing maintenance burden, since it runs passively against existing Defender and Entra ID data.</t>
  </si>
  <si>
    <t>Log(N) Pacific is entirely cloud-hosted with no physical infrastructure to monitor. No Azure Service Health alerts or Azure Monitor alert rules are configured. Microsoft does not send proactive outage notifications by default — without configured alerts, service issues and planned maintenance only appear passively in the Azure portal and are not pushed to anyone.</t>
  </si>
  <si>
    <t>No Azure Service Health alerts configured. No Azure Monitor alert rules in place. Defender and UEBA monitor identity and endpoint behavior but do not cover platform availability or service health. Without configured alerts, there is no mechanism for proactively detecting a platform outage or degraded service before it affects the Cyber Range.</t>
  </si>
  <si>
    <t>Azure Portal Service Health and Azure Monitor (no alert rules found), Microsoft Learn documentation confirming Service Health alerts are required for proactive notification.</t>
  </si>
  <si>
    <t>R-012</t>
  </si>
  <si>
    <t>Log(N) Pacific has no way to proactively detect an Azure outage before it affects the platform. Azure Service Health alerts and Azure Monitor alert rules are not configured, so Josh would not be notified of planned maintenance, service outages, or health advisories unless he happens to check the Azure portal himself.</t>
  </si>
  <si>
    <t>Configure Azure Service Health alerts to notify Josh of planned maintenance, service outages, and health advisories. Configure basic Azure Monitor alert rules for Log Analytics, Sentinel, and company VMs. This does not prevent an outage, but it reduces wasted troubleshooting time by confirming the issue is on Azure's side, and allows Josh to communicate proactively with the community instead of reacting after students report problems.</t>
  </si>
  <si>
    <t>Are activities from external services integrated into monitoring — for example, are Microsoft 365 audit logs and Tenable scan events forwarded to Sentinel?</t>
  </si>
  <si>
    <t>Exchange, SharePoint, and Teams logs flow into Sentinel through the Microsoft 365 connector. Admin mailboxes are separate from the Cyber Range lab environment, so this activity is not mixed with student or simulated traffic. No Tenable connector is configured. Josh has run Tenable scans against the two company-owned VMs before, but as teaching demonstrations showing students how vulnerability scanning works, not as a deliberate organizational security practice. This gap is addressed separately under DE.CM-09.</t>
  </si>
  <si>
    <t>M365 logs are collected but nothing reviews them. The clearest risk is a mailbox forwarding rule being silently added to an admin account, a common tactic attackers use to intercept email and impersonate trusted identities, which would currently go undetected. The Tenable integration gap is tracked separately under DE.CM-09 and does not require duplicate remediation here.</t>
  </si>
  <si>
    <t>Microsoft Sentinel data connectors — M365 connector confirmed connected with Exchange, SharePoint, and Teams enabled; Tenable connector absent from connector list; Tenable scans against company VMs confirmed as teaching demonstrations, not organizational practice.</t>
  </si>
  <si>
    <t>Add one Sentinel rule that alerts when a mailbox forwarding rule is created or changed on an admin account. This targets the specific risk of email impersonation, not general M365 activity. No Tenable related action needed here — see DE.CM-09.</t>
  </si>
  <si>
    <t>M365 activity is not monitored by any Sentinel rule. If an attacker compromises an admin mailbox and silently sets up a forwarding rule, they could intercept email and impersonate Josh's identity to staff, and this would currently go undetected.</t>
  </si>
  <si>
    <t>R-013</t>
  </si>
  <si>
    <t>Add one Sentinel rule that alerts when a mailbox forwarding rule is created or changed on an admin account. This is a narrowly scoped rule targeting email impersonation risk specifically, not a broader review of all M365 activity.</t>
  </si>
  <si>
    <t>Run a basic Tenable scan against the two company-owned VMs on a quarterly basis. Document this cadence in DE-001. This does not require a formal SLA or review program, just an informal check by Josh given the low value and low risk of these specific assets.</t>
  </si>
  <si>
    <t>The two company-owned VMs are persistent, unlike student VMs which are rebuilt every few days. Without a defined scanning cadence, a vulnerability on these long-running machines could go unnoticed for an extended period, giving an attacker more time to exploit it before anyone catches it.</t>
  </si>
  <si>
    <t>R-014</t>
  </si>
  <si>
    <t>Run a basic Tenable scan against the two company-owned VMs on a quarterly basis as a deliberate organizational practice, separate from teaching demonstrations. Document this cadence in DE-001. This does not require a formal SLA or review program, just an informal check by Josh given the limited scope of these specific assets.</t>
  </si>
  <si>
    <t>Is there a defined threshold for escalating a Defender alert to a declared security incident? Is the process documented?</t>
  </si>
  <si>
    <t>Defender for Endpoint is auto-provisioned across the environment and automatically generates alerts and incidents based on its own built-in detection logic, including on the two company-owned VMs. Incident declaration currently relies on Josh's personal judgment when a Defender alert appears. Defender has served as the detection source for severe incidents in the past, as demonstrated by the Chinese attacker incident. Josh confirmed his team can respond to incidents without him if needed.</t>
  </si>
  <si>
    <t>Defender alerts are already being generated automatically, but no written threshold exists for what kind of alert should be treated as a real company security incident, separate from routine activity. Incident declaration relies entirely on Josh's personal judgment rather than something the rest of the team could apply consistently in his absence.</t>
  </si>
  <si>
    <t>Chinese attacker incident, Cyber Range Architecture and Engineering Document confirming MDE auto-provisioned on all VMs, Josh Madakor confirmed reliance on Defender, UEBA, and MFA (questionnaire response), Josh Madakor confirmed team can respond without him (questionnaire response).</t>
  </si>
  <si>
    <t>R-015</t>
  </si>
  <si>
    <t>Defender automatically generates alerts on company-owned VMs, but no written guide exists for what kind of alert should be treated as a real company security incident. If Josh is unavailable, different team members might judge severity differently, which could delay response to a genuine company-level incident.</t>
  </si>
  <si>
    <t>Add a section to RS-001 describing what kind of Defender alert should be treated as a real company security incident, for example anything touching admin accounts or company-owned VMs. This does not need to be a formal severity matrix, just enough for the team to make a consistent call without Josh.</t>
  </si>
  <si>
    <t>Add a section to RS-001 describing what kind of Defender alert should be treated as a real company security incident, for example anything touching admin accounts or company-owned VMs. This formalizes a judgment call the team already needs to make rather than building a formal severity matrix.</t>
  </si>
  <si>
    <t>Log(N) Pacific has no automated way to predict or surface multi-stage attacks before they fully unfold. Specifically, Sentinel Fusion, a built-in feature that uses data already generated by Defender and Entra ID, is not enabled. With it disabled, an attack chain like a suspicious sign-in followed by privilege escalation on an admin account would not be automatically surfaced.</t>
  </si>
  <si>
    <t>R-016</t>
  </si>
  <si>
    <t>Is there a documented Incident Response Plan that is actively used when Defender raises a serious incident? Does it reference Azure-specific response steps?</t>
  </si>
  <si>
    <t>No formal company-specific Incident Response Plan exists. The majority of Defender-raised alerts are student-generated exercise activity rather than real threats. Josh has deep working knowledge of the NIST SP 800-61 incident handling framework, which he both teaches to students and personally applied during the one confirmed real incident, an attacker from China attempting to use the Azure environment to attack external platforms. Josh documented that incident publicly through a recorded video with a timeline, and Azure's 48-hour remediation window was honored. Josh confirmed his team can respond to incidents without him if needed.</t>
  </si>
  <si>
    <t>Josh has strong working knowledge of SP 800-61 and has applied it successfully in practice, but this knowledge has not been translated into a written plan specific to Log(N) Pacific's own environment, roles, and systems. Without that translation, another admin responding to a future incident would need to reconstruct the company-specific application of the framework rather than reference it directly.</t>
  </si>
  <si>
    <t>Cyber Range Architecture and Engineering Document, public incident video recorded by Josh Madakor, Azure 48-hour breach notification and remediation window, Josh Madakor confirmed team can respond without him (questionnaire response).</t>
  </si>
  <si>
    <t>Document a formal Incident Response Plan in RS-001 covering incident classification, response steps, and recovery actions for common scenarios such as identity compromise, subscription abuse, and unauthorized lateral movement. Use the NIST SP 800-61 framework Josh already teaches and applies in practice as the foundation.</t>
  </si>
  <si>
    <t>Is there a process to decide which Defender alerts need attention first, especially at the company level rather than in student labs?</t>
  </si>
  <si>
    <t>There is no formal process for prioritizing among multiple company-level alerts. Most alerts come from student lab activity, not real threats. The one confirmed real incident, the Chinese attacker incident, was a single isolated event rather than multiple competing incidents needing prioritization. Josh confirmed his team can respond to incidents without him if needed.</t>
  </si>
  <si>
    <t>No prioritization framework exists for ranking multiple company-level alerts against each other. This has not yet been a practical problem since the company has only had one confirmed real incident, but a small team has no margin to figure this out in the moment if it ever happens.</t>
  </si>
  <si>
    <t>Cyber Range Architecture and Engineering Document, known breach incident and Azure notification process.</t>
  </si>
  <si>
    <t>Add a simple prioritization rule to RS-001 — if multiple alerts are confirmed real at the same time, anything touching admin accounts, Global Administrator access, or the automation service principal should be addressed before anything limited to company-owned VMs or student environments, since privileged account compromise carries significantly higher impact.</t>
  </si>
  <si>
    <t>Is there a process to verify whether a Defender alert is a true positive or false positive before treating it as a real incident?</t>
  </si>
  <si>
    <t>No formal process exists for verifying whether Defender alerts are true or false positives at the company level. True positive versus false positive identification is taught to students as part of platform lessons and practiced during lab exercises, but this is training content rather than an applied company-level operational practice. Josh personally has this ability and has demonstrated it during real incident response, as shown during the Chinese attacker incident. The high volume of student-generated activity in the environment creates significant alert noise. Josh confirmed his team can respond to incidents without him if needed.</t>
  </si>
  <si>
    <t>No documented criteria exist for telling a true positive apart from student-generated noise before escalating further at the company level. Josh can do this himself, but the steps he follows have not been written down, so another admin would not be able to repeat this process consistently if Josh were unavailable. This is a distinct step from DE.AE-06, which asks whether something qualifies as a real company incident at all, since this control specifically addresses confirming the alert itself is accurate before acting on it.</t>
  </si>
  <si>
    <t>Cyber Range Architecture and Engineering Document, known breach incident and Azure notification process, Josh Madakor confirmed team can respond without him (questionnaire response).</t>
  </si>
  <si>
    <t>Document Josh's verification steps in RS-001 — for example, confirming whether the affected account or VM belongs to a student lab versus company infrastructure, and checking sign-in location and timing against expected admin behavior. Writing this down makes the process repeatable for any admin, not just Josh.</t>
  </si>
  <si>
    <t>Are escalation paths defined for serious incidents? Is there a contact list covering internal team members and external parties?</t>
  </si>
  <si>
    <t>No written escalation path or contact list exists. Josh stated his team could respond without him if needed, but in case an incident actually happens and Josh is unavailable, the team would have to rely on informal knowledge rather than a written reference, since this has not been documented properly.</t>
  </si>
  <si>
    <t>Cyber Range Architecture and Engineering Document, The Cyber Range Context document, Josh Madakor confirmed team can respond without him (questionnaire response).</t>
  </si>
  <si>
    <t>Is there defined criteria for closing an incident — evidence of containment, remediation verified, monitoring resumed?</t>
  </si>
  <si>
    <t>During the confirmed breach involving an attacker from China, Josh executed a clear incident closure process — notifying affected VM owners, wiping and re-imaging compromised VMs, and hardening NSG rules to prevent recurrence. The ephemeral nature of the environment simplifies containment, since compromised VMs are destroyed by design with no persistent data at risk.</t>
  </si>
  <si>
    <t>A real closure process exists and was successfully applied, but it has not been properly documented outside of Josh's own actions during that one incident. Another admin would need to already know these steps rather than reference a document defining them.</t>
  </si>
  <si>
    <t>Public incident video recorded by Josh Madakor, Cyber Range Architecture and Engineering Document (NSG hardening, ephemeral VM design), community threat hunt report.</t>
  </si>
  <si>
    <t>Write down the existing closure process in RS-001 — notify affected VM owners, wipe and re-image compromised VMs, harden NSG rules if needed, and confirm no persistence remains. This captures what Josh already does rather than creating something new.</t>
  </si>
  <si>
    <t>Is root cause analysis conducted after significant incidents? Are investigation timelines used to reconstruct the attack path?</t>
  </si>
  <si>
    <t>Root cause analysis was conducted following the confirmed breach involving an attacker from China. KQL-based threat hunting was used to identify indicators of compromise and reconstruct the attack path, and findings drove the NSG hardening remediation that followed. RCA methodology is also taught to students as part of platform lessons.</t>
  </si>
  <si>
    <t>No formal RCA process exists at the company level. The underlying skill is common knowledge among students and admins working with Josh, but it has not been properly documented as a company-level process. There is no defined RCA template, documented outputs, or follow-up tracking mechanism that another admin could reference independently.</t>
  </si>
  <si>
    <t>Public incident video recorded by Josh Madakor, Cyber Range Architecture and Engineering Document.</t>
  </si>
  <si>
    <t>Add a simple RCA template to RS-001 covering questions to answer, like how the compromise occurred and what it affected, and how findings should drive remediation, using the Chinese attacker incident as the reference example.</t>
  </si>
  <si>
    <t>Community threat hunt report, threat hunt report template, public incident video recorded by Josh Madakor.</t>
  </si>
  <si>
    <t>Formally adopt the existing threat hunt report template as the required action log for all company-level incidents. Reference the template directly in RS-001 so it can be located and used during a real incident rather than relying on it existing only as teaching material.</t>
  </si>
  <si>
    <t>Are lessons learned from incidents recorded and shared? Is there an incident knowledge base or post-incident review template?</t>
  </si>
  <si>
    <t>Lessons learned from the Chinese attacker incident were documented and shared through three artifacts — a public video recorded by Josh, a community threat hunt report, and a post published on the Skool platform. Findings were shared both publicly with the community and internally with the admin team.</t>
  </si>
  <si>
    <t>Lessons learned were captured for one significant incident, but there is no defined requirement or structured template to capture lessons learned consistently after future significant incidents. There is also no centralized knowledge base where past incident findings are stored and can be referenced later.</t>
  </si>
  <si>
    <t>Public incident video recorded by Josh Madakor, community threat hunt report, Skool platform post.</t>
  </si>
  <si>
    <t>Add a simple post-incident review template to RS-001 covering what happened, what was learned, and what should change going forward. RS-001 itself can serve as the knowledge base, as each completed PIR gets added to the document over time, building a simple running record without needing a separate repository or tool.</t>
  </si>
  <si>
    <t>Are internal team members notified of significant incidents within a defined timeline? Is there a notification template?</t>
  </si>
  <si>
    <t>No defined notification timeline, template, or list of who needs to know exists. As the company grows, Josh will not be able to remain the sole person handling every incident, so it becomes increasingly important to clearly define who to escalate an incident to, within what timeline, using what template, and who internally needs to be kept informed. This overlaps with the contact list gap already identified in RS.MA-04.</t>
  </si>
  <si>
    <t>Cyber Range Architecture and Engineering Document, The Cyber Range Context document (team roles and ownership), known breach incident and Azure notification process.</t>
  </si>
  <si>
    <t>If a reportable breach occurs, is there a process for notifying affected students?</t>
  </si>
  <si>
    <t>No formal external breach notification process exists. During the Chinese attacker incident, Josh personally reached out to affected VM owners directly, and also published a post on the Skool platform notifying the broader community of the incident without identifying any specific individuals. Payment data is fully out of scope, since it is handled entirely by Skool and Stripe. Student usernames are pseudonymized via SHA-256 hashing, making it difficult for an attacker to trace a hashed identity back to a real person even if exposed. VMs are ephemeral by design with no intellectual property stored. The narrowest realistic exposure is student email addresses, which exist within the Skool subscription management process.</t>
  </si>
  <si>
    <t>No written process exists for notifying students if their email address were ever exposed in a breach. Josh's response during the Chinese attacker incident, direct outreach plus a transparent public post, is a sound model, but it has not been formally written down as a defined procedure another admin could follow consistently.</t>
  </si>
  <si>
    <t>Cyber Range Architecture and Engineering Document (data protection section, payment processing section), known breach incident, Skool platform post, Josh Madakor direct outreach to affected VM owners.</t>
  </si>
  <si>
    <t>Add a short note to RS-001 capturing the approach already used during the Chinese attacker incident — notify affected individuals directly and post a transparent, non-identifying update to the community. A full review of state-by-state breach notification law is not proportionate given the narrow and limited exposure.</t>
  </si>
  <si>
    <t>Are containment actions available and practiced at the company level — for example, isolating a VM via Defender for Endpoint, or disabling a compromised account in Entra ID?</t>
  </si>
  <si>
    <t>The majority of incidents are handled by Josh or come through Josh as the main point of contact right now. During the Chinese attacker incident, the appropriate containment action for this environment, wiping and re-imaging affected VMs, was executed at the company level. Isolating VMs before wiping was not necessary given the ephemeral VM design and absence of intellectual property. Disabling compromised accounts in Entra ID is restricted to global admins. Josh confirmed his team can respond to incidents if he is unavailable. VM isolation via Defender is taught to students as part of platform lessons, but that is training content, separate from how containment was actually applied during the real company-level incident.</t>
  </si>
  <si>
    <t>The wipe and re-image containment procedure was successfully applied during the Chinese attacker incident, but it has not been written down as a defined procedure. Josh confirmed his team can respond without him, but without a documented procedure to follow, another admin would not have a clear reference for what containment action to take or how to execute it if Josh is unavailable or as the company grows.</t>
  </si>
  <si>
    <t>Cyber Range Architecture and Engineering Document (Defender for Endpoint permissions, RBAC section), known breach incident, Josh Madakor confirmed team can respond without him (questionnaire response).</t>
  </si>
  <si>
    <t>Add the wipe and re-image containment procedure already used in practice to RS-001, including who is authorized to disable a compromised account in Entra ID. Documenting this now ensures the team can act consistently without Josh and positions the company to scale incident response as it grows.</t>
  </si>
  <si>
    <t>Is there a process for removing malware, unauthorized access, or compromised credentials after containment?</t>
  </si>
  <si>
    <t>During the Chinese attacker incident, unauthorized access paths were closed and affected VMs were wiped and re-imaged. Josh applied the NIST SP 800-61 incident handling framework as the guide for these eradication actions. The ephemeral VM design simplifies eradication, since compromised VMs are wiped and re-imaged with no intellectual property at risk. Josh confirmed his team can respond to incidents without him if needed.</t>
  </si>
  <si>
    <t>The eradication steps used during the Chinese attacker incident, closing access paths and wiping and re-imaging affected VMs, were never written down as a defined procedure specific to this environment. Without it documented, another admin would not have a clear reference to follow if Josh is unavailable or as the company grows.</t>
  </si>
  <si>
    <t>Cyber Range Architecture and Engineering Document, public incident video recorded by Josh Madakor, Josh Madakor confirmed team can respond without him (questionnaire response).</t>
  </si>
  <si>
    <t>Add the eradication steps already used in practice to RS-001, covering closing unauthorized access paths and the VM wipe and re-image process, using the NIST SP 800-61 framework Josh already applies as the foundation.</t>
  </si>
  <si>
    <t>R-017</t>
  </si>
  <si>
    <t>Log(N) Pacific has no documented Incident Response Plan covering the full lifecycle of a company-level incident. While Josh has demonstrated strong incident response capability using NIST SP 800-61 during the Chinese attacker incident, this knowledge lives entirely with him rather than in a written plan the rest of the team can reference. Without it, the team's ability to respond consistently, whether Josh is available or not, depends on informal knowledge rather than a defined, repeatable process.</t>
  </si>
  <si>
    <t>RS.MA-01, RS.MA-02, RS.MA-03, RS.MA-04, RS.MA-05, RS.AN-03, RS.MI-01, RS.MI-02</t>
  </si>
  <si>
    <t>Document a formal Incident Response Plan in RS-001 covering the full lifecycle of a company-level incident — incident classification, triage criteria, escalation paths, containment and eradication procedures, closure criteria, and a post-incident review template. Use NIST SP 800-61 as the foundation since Josh already applies it in practice. This writes down what Josh already knows rather than creating something entirely new.</t>
  </si>
  <si>
    <t>Log(N) Pacific has no formally documented external breach notification procedure. A sound notification approach was demonstrated during the Chinese attacker incident, but it exists only as something Josh did once rather than a defined, repeatable process. If a breach occurs and Josh is unavailable, the team would have no written reference for how to notify affected individuals or communicate transparently with the broader community.</t>
  </si>
  <si>
    <t>R-018</t>
  </si>
  <si>
    <t>Add a note to RS-001 documenting the external breach notification procedure: notify affected individuals directly and post a transparent, non-identifying update to the community. This formalizes what Josh already does rather than creating something new.</t>
  </si>
  <si>
    <t>Does Log(N) Pacific have a documented recovery plan covering the steps needed to fully restore the company and the Cyber Range after a major incident?</t>
  </si>
  <si>
    <t>A recovery plan is documented within the architecture document covering an RTO of 24 hours, a warm standby architecture maintained in a parallel Azure tenant, and platform code and configuration stored in version-controlled repositories in GitHub and Azure DevOps. The architecture document explicitly states it serves as the blueprint for environment rehydration and should be reviewed quarterly or after any major system change. Trigger-based reviews after major system changes are confirmed in practice. Quarterly Entra ID user base exports are documented as part of the recovery strategy but Josh confirmed these are not currently happening.</t>
  </si>
  <si>
    <t>The recovery plan is embedded in the architecture document rather than standing as a dedicated recovery document. Quarterly Entra ID user base exports, which are part of the documented recovery strategy, are not being performed, creating a gap between what is documented and what is actually happening. This same gap is already captured in PR.IR-02 and PR.IR-03.</t>
  </si>
  <si>
    <t>Cyber Range Architecture and Engineering Document (Business Continuity and Disaster Recovery section), Josh Madakor confirmed quarterly exports not happening (questionnaire response).</t>
  </si>
  <si>
    <t>Add a dedicated recovery plan section to RC-001 that consolidates the recovery steps currently embedded in the architecture document. Implement the quarterly Entra ID user base exports as already documented in PR.IR-02.</t>
  </si>
  <si>
    <t>Has the recovery plan been tested? Is there evidence of a recovery test or failover exercise?</t>
  </si>
  <si>
    <t>Josh confirmed the warm standby architecture has been activated and tested. Platform code and configuration are stored in version-controlled repositories in GitHub and Azure DevOps, which supports rapid redeployment. The architecture document defines an RTO of 24 hours and states the environment should be fully rebuildable within that window.</t>
  </si>
  <si>
    <t>The warm standby has been tested, but there is no confirmed documentation of when the test occurred, what was validated, or whether the 24-hour RTO was formally verified. Without a record, there is no way to confirm the test was comprehensive or that the recovery plan remains valid as the platform evolves.</t>
  </si>
  <si>
    <t>Josh Madakor confirmed warm standby has been activated and tested (questionnaire response), Cyber Range Architecture and Engineering Document.</t>
  </si>
  <si>
    <t>Add a simple log to RC-001 noting the date and outcome each time the warm standby is tested. This does not require a formal recovery exercise program, just a basic record confirming the test occurred and what was validated.</t>
  </si>
  <si>
    <t>Does Log(N) Pacific have a communication plan for notifying students and stakeholders during and after a recovery event?</t>
  </si>
  <si>
    <t>During the Chinese attacker incident, Josh personally reached out to affected VM owners and published a transparent post on the Skool platform keeping the broader community informed. This same approach has been applied to other platform availability issues. No formal communication plan exists defining who must be notified, within what timeframe, and through what channels during a recovery event.</t>
  </si>
  <si>
    <t>The communication approach Josh uses in practice is sound, but it has not been formally documented. Without a written procedure, another admin would not have a clear reference for what to communicate, to whom, and within what timeframe during a recovery event.</t>
  </si>
  <si>
    <t>Cyber Range Architecture and Engineering Document, Skool platform announcement, known breach incident.</t>
  </si>
  <si>
    <t>Add a short communication procedure to RC-001 covering when to notify affected VM owners directly, when to post a broader update to the Skool community, and what information to include in each communication.</t>
  </si>
  <si>
    <t>Does Log(N) Pacific have defined recovery priorities identifying what gets restored first after a major incident?</t>
  </si>
  <si>
    <t>The architecture document states that core services should be fully restored within 24 hours following a total compromise or infrastructure wipe. This implies an implicit priority exists between core and non-core services. However, core services are never explicitly defined, and no restoration sequence is specified for individual components such as Entra ID, Sentinel, Defender, or student lab VMs.</t>
  </si>
  <si>
    <t>No formal recovery priority order exists. Core services are referenced in the architecture document but never defined. Without a documented restoration sequence, the team would have to make judgment calls during a high pressure recovery event about what to restore first.</t>
  </si>
  <si>
    <t>Cyber Range Architecture and Engineering Document (Business Continuity and Disaster Recovery section).</t>
  </si>
  <si>
    <t>Add a simple restoration sequence to RC-001 defining what constitutes core services and the order in which they should be restored. A reasonable starting point based on the architecture is Entra ID first since identity is required for everything else, followed by Sentinel and Defender for visibility and detection, then student lab infrastructure.</t>
  </si>
  <si>
    <t>Are recovery time objectives and recovery point objectives defined for Log(N) Pacific's critical systems and services?</t>
  </si>
  <si>
    <t>A 24-hour RTO is defined in the architecture document for the overall environment. RPO is explicitly stated as not applicable since the environment is ephemeral by design and data loss is acceptable. Both decisions are intentional and documented. No per-component RTOs are defined for individual systems like Entra ID or Sentinel, but given the company's size and ephemeral design, a single environment-level RTO is proportionate.</t>
  </si>
  <si>
    <t>The 24-hour RTO applies to the environment as a whole but does not specify which components need to come back online first. This overlaps with the restoration sequence gap already identified in RC.RP-04.</t>
  </si>
  <si>
    <t>No additional per-component RTOs needed. The restoration sequence defined in RC.RP-04 is sufficient to guide recovery within the existing 24-hour window.</t>
  </si>
  <si>
    <t>Does Log(N) Pacific have a plan for public communications when an incident affects student data or platform availability?</t>
  </si>
  <si>
    <t>Josh has an established practice of communicating publicly through the Skool platform when incidents affect platform availability or the student community. During the Chinese attacker incident and other platform issues such as Tenable outages, Josh communicated what happened, what was being done, and when resolution was expected. This practice has been applied consistently but relies entirely on Josh's personal judgment rather than a defined plan.</t>
  </si>
  <si>
    <t>No formal public communication plan exists. There is no defined template, timeline, or criteria for when a public communication is required. If Josh is unavailable during an incident, another team member would not have a clear reference for what to communicate or when.</t>
  </si>
  <si>
    <t>Skool platform posts, public incident video recorded by Josh Madakor.</t>
  </si>
  <si>
    <t>Add a short public communication procedure to RC-001 capturing Josh's existing approach — what types of incidents require a public post, what information to include, and who is responsible for posting it if Josh is unavailable.</t>
  </si>
  <si>
    <t>Lessons learned from the Chinese attacker incident were fed back into the architecture document through concrete updates — NSG hardening rules were tightened and the VM wipe and re-image process was refined as a direct result. The architecture document explicitly states it should be reviewed quarterly or after any major system change, and trigger-based reviews following major incidents are confirmed in practice. Josh owns and maintains all documentation.</t>
  </si>
  <si>
    <t>Quarterly review cadence is defined in the architecture document but not confirmed as being consistently followed in practice.</t>
  </si>
  <si>
    <t>Cyber Range Architecture and Engineering Document, public incident video recorded by Josh Madakor, Skool platform post.</t>
  </si>
  <si>
    <t>Confirm whether the quarterly review of the architecture document is actually happening and document when the last review occurred. If it is not happening consistently, establish a simple reminder so the recovery plan stays current even in periods without a significant incident.</t>
  </si>
  <si>
    <t>R-019</t>
  </si>
  <si>
    <t>Log(N) Pacific has no formal communication procedure for recovery events. Josh currently handles all communications during incidents using personal judgment, but nothing has been written down. If a recovery event occurs and Josh is unavailable, an admin would have no written reference for who to notify internally, what to communicate publicly, or how to do either in a consistent and timely way.</t>
  </si>
  <si>
    <t>RC.RP-03, RC.CO-03</t>
  </si>
  <si>
    <t>Add a short communication procedure to RC-001 covering who to notify internally during a recovery event, when to post a public update to the Skool community, and what information to include in each communication. This formalizes what Josh already does rather than creating something new.</t>
  </si>
  <si>
    <t>Log(N) Pacific has no documented restoration sequence for recovery events. If a major incident takes down the environment, the team would have no written reference for which systems to restore first, potentially causing delays while decisions are made under pressure. Defining this ahead of time ensures a faster and more consistent recovery.</t>
  </si>
  <si>
    <t>R-020</t>
  </si>
  <si>
    <t>Add a simple restoration sequence to RC-001 defining what constitutes core services and the order in which they should be restored. A reasonable starting point is Entra ID first since identity is required for everything else, followed by Sentinel and Defender for visibility and detection, then student lab infrastructure.</t>
  </si>
  <si>
    <t>Do staff and privileged users at Log(N) Pacific receive security training relevant to their role?</t>
  </si>
  <si>
    <t>Risk Accepted</t>
  </si>
  <si>
    <t>Controls Below Target</t>
  </si>
  <si>
    <t>Complete</t>
  </si>
  <si>
    <t>Add a simple contact list to RS-001 covering all of the staffs with their areas of ownership, plus how to reach Microsoft Azure support if needed.</t>
  </si>
  <si>
    <t>No formal escalation path or contact list is documented. The team implicitly understands that serious incidents are escalated to Josh, with technical and operational ownership distributed across the admin team. Josh confirmed his team can respond to incidents without him if needed. External escalation has historically been triggered by Azure reaching out to Josh directly, as demonstrated by the Chinese attacker incident.</t>
  </si>
  <si>
    <t>Josh is the main person who handles all significant incidents right now. He confirmed his team can respond to incidents if he is unavailable. The admin team holds defined areas of technical and operational ownership, but there is no confirmed process for keeping them informed when an incident occurs.</t>
  </si>
  <si>
    <t>See RS-001's contact list from RS.MA-04. Add a short note specifying the specific admins should be notified of any significant company-level incident within 24 hours, along with a one-line summary of what happened and current status. Documenting this now positions the company to delegate incident response more effectively as it grows.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</si>
</sst>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charset val="1"/>
    </font>
    <font>
      <b/>
      <sz val="14"/>
      <color rgb="FFFFFFFF"/>
      <name val="Arial"/>
      <family val="2"/>
    </font>
    <font>
      <sz val="10"/>
      <color rgb="FF1A1A1A"/>
      <name val="Arial"/>
      <family val="2"/>
    </font>
    <font>
      <b/>
      <sz val="11"/>
      <color rgb="FF0F6E56"/>
      <name val="Arial"/>
      <family val="2"/>
    </font>
    <font>
      <sz val="10"/>
      <color rgb="FFA32D2D"/>
      <name val="Arial"/>
      <family val="2"/>
    </font>
    <font>
      <sz val="10"/>
      <color rgb="FF854F0B"/>
      <name val="Arial"/>
      <family val="2"/>
    </font>
    <font>
      <sz val="10"/>
      <color rgb="FF0F6E56"/>
      <name val="Arial"/>
      <family val="2"/>
    </font>
    <font>
      <b/>
      <sz val="13"/>
      <color rgb="FFFFFFFF"/>
      <name val="Arial"/>
      <family val="2"/>
    </font>
    <font>
      <sz val="9"/>
      <color rgb="FF1A1A1A"/>
      <name val="Arial"/>
      <family val="2"/>
    </font>
    <font>
      <b/>
      <sz val="10"/>
      <color rgb="FFFFFFFF"/>
      <name val="Arial"/>
      <family val="2"/>
    </font>
    <font>
      <b/>
      <sz val="14"/>
      <color rgb="FFFFFFFF"/>
      <name val="Arial"/>
      <family val="2"/>
    </font>
    <font>
      <i/>
      <sz val="10"/>
      <name val="Arial"/>
      <family val="2"/>
    </font>
    <font>
      <b/>
      <sz val="11"/>
      <color rgb="FFFFFFFF"/>
      <name val="Arial"/>
      <family val="2"/>
    </font>
    <font>
      <sz val="10"/>
      <name val="Arial"/>
      <family val="2"/>
    </font>
    <font>
      <b/>
      <sz val="11"/>
      <color rgb="FFFFFFFF"/>
      <name val="Arial"/>
      <family val="2"/>
    </font>
    <font>
      <b/>
      <sz val="11"/>
      <color rgb="FF000000"/>
      <name val="Arial"/>
      <family val="2"/>
    </font>
    <font>
      <sz val="10"/>
      <name val="Arial"/>
      <family val="2"/>
    </font>
    <font>
      <b/>
      <sz val="10"/>
      <color rgb="FFFFFFFF"/>
      <name val="Arial"/>
      <family val="2"/>
    </font>
    <font>
      <b/>
      <sz val="10"/>
      <color rgb="FF000000"/>
      <name val="Arial"/>
      <family val="2"/>
    </font>
    <font>
      <b/>
      <sz val="10"/>
      <color theme="1"/>
      <name val="Arial"/>
      <family val="2"/>
    </font>
    <font>
      <b/>
      <sz val="12"/>
      <color rgb="FFFFFFFF"/>
      <name val="Arial"/>
      <family val="2"/>
    </font>
    <font>
      <sz val="12"/>
      <color rgb="FFFFFFFF"/>
      <name val="Arial"/>
      <family val="2"/>
    </font>
    <font>
      <sz val="12"/>
      <color theme="1"/>
      <name val="Calibri"/>
      <family val="2"/>
      <charset val="1"/>
    </font>
    <font>
      <sz val="12"/>
      <color rgb="FF1A1A1A"/>
      <name val="Arial"/>
      <family val="2"/>
    </font>
  </fonts>
  <fills count="36">
    <fill>
      <patternFill patternType="none"/>
    </fill>
    <fill>
      <patternFill patternType="gray125"/>
    </fill>
    <fill>
      <patternFill patternType="solid">
        <fgColor rgb="FF0F6E56"/>
        <bgColor rgb="FF1D6E6E"/>
      </patternFill>
    </fill>
    <fill>
      <patternFill patternType="solid">
        <fgColor rgb="FFF1EFE8"/>
        <bgColor rgb="FFE1F5EE"/>
      </patternFill>
    </fill>
    <fill>
      <patternFill patternType="solid">
        <fgColor rgb="FFFFFFFF"/>
        <bgColor rgb="FFF1EFE8"/>
      </patternFill>
    </fill>
    <fill>
      <patternFill patternType="solid">
        <fgColor rgb="FFE1F5EE"/>
        <bgColor rgb="FFF1EFE8"/>
      </patternFill>
    </fill>
    <fill>
      <patternFill patternType="solid">
        <fgColor rgb="FF3C3489"/>
        <bgColor rgb="FF0C447C"/>
      </patternFill>
    </fill>
    <fill>
      <patternFill patternType="solid">
        <fgColor rgb="FF2C2C2A"/>
        <bgColor rgb="FF1A1A1A"/>
      </patternFill>
    </fill>
    <fill>
      <patternFill patternType="solid">
        <fgColor rgb="FF0C447C"/>
        <bgColor rgb="FF085041"/>
      </patternFill>
    </fill>
    <fill>
      <patternFill patternType="solid">
        <fgColor rgb="FF1D6E6E"/>
        <bgColor rgb="FF0F6E56"/>
      </patternFill>
    </fill>
    <fill>
      <patternFill patternType="solid">
        <fgColor rgb="FF854F0B"/>
        <bgColor rgb="FF633806"/>
      </patternFill>
    </fill>
    <fill>
      <patternFill patternType="solid">
        <fgColor rgb="FFA32D2D"/>
        <bgColor rgb="FF993366"/>
      </patternFill>
    </fill>
    <fill>
      <patternFill patternType="solid">
        <fgColor theme="0"/>
        <bgColor rgb="FFE1F5EE"/>
      </patternFill>
    </fill>
    <fill>
      <patternFill patternType="solid">
        <fgColor theme="2"/>
        <bgColor indexed="64"/>
      </patternFill>
    </fill>
    <fill>
      <patternFill patternType="solid">
        <fgColor theme="0"/>
        <bgColor rgb="FFF1EFE8"/>
      </patternFill>
    </fill>
    <fill>
      <patternFill patternType="solid">
        <fgColor rgb="FF1F3864"/>
        <bgColor rgb="FF1F3864"/>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4CCFF"/>
        <bgColor rgb="FFF4CCFF"/>
      </patternFill>
    </fill>
    <fill>
      <patternFill patternType="solid">
        <fgColor rgb="FFCCE5FF"/>
        <bgColor rgb="FFCCE5FF"/>
      </patternFill>
    </fill>
    <fill>
      <patternFill patternType="solid">
        <fgColor rgb="FFFF8C00"/>
        <bgColor rgb="FFFF8C00"/>
      </patternFill>
    </fill>
    <fill>
      <patternFill patternType="solid">
        <fgColor rgb="FFF1C40F"/>
        <bgColor rgb="FFF1C40F"/>
      </patternFill>
    </fill>
    <fill>
      <patternFill patternType="solid">
        <fgColor rgb="FFBDC3C7"/>
        <bgColor rgb="FFBDC3C7"/>
      </patternFill>
    </fill>
    <fill>
      <patternFill patternType="solid">
        <fgColor rgb="FFE74C3C"/>
        <bgColor rgb="FFE74C3C"/>
      </patternFill>
    </fill>
    <fill>
      <patternFill patternType="solid">
        <fgColor rgb="FF27AE60"/>
        <bgColor rgb="FF27AE60"/>
      </patternFill>
    </fill>
    <fill>
      <patternFill patternType="solid">
        <fgColor rgb="FF2ECC71"/>
        <bgColor rgb="FF2ECC71"/>
      </patternFill>
    </fill>
    <fill>
      <patternFill patternType="solid">
        <fgColor rgb="FF2ECC71"/>
        <bgColor rgb="FF2ECC71"/>
      </patternFill>
    </fill>
    <fill>
      <patternFill patternType="solid">
        <fgColor rgb="FFFFFFFF"/>
        <bgColor rgb="FFFFFFFF"/>
      </patternFill>
    </fill>
    <fill>
      <patternFill patternType="solid">
        <fgColor rgb="FFF5F5F5"/>
        <bgColor rgb="FFF5F5F5"/>
      </patternFill>
    </fill>
    <fill>
      <patternFill patternType="solid">
        <fgColor theme="0" tint="-0.499984740745262"/>
        <bgColor rgb="FFE74C3C"/>
      </patternFill>
    </fill>
    <fill>
      <patternFill patternType="solid">
        <fgColor theme="0" tint="-0.499984740745262"/>
        <bgColor rgb="FF1D6E6E"/>
      </patternFill>
    </fill>
    <fill>
      <patternFill patternType="solid">
        <fgColor theme="0" tint="-0.499984740745262"/>
        <bgColor rgb="FF993366"/>
      </patternFill>
    </fill>
    <fill>
      <patternFill patternType="solid">
        <fgColor theme="0" tint="-0.249977111117893"/>
        <bgColor rgb="FF1D6E6E"/>
      </patternFill>
    </fill>
    <fill>
      <patternFill patternType="solid">
        <fgColor theme="0" tint="-0.249977111117893"/>
        <bgColor rgb="FF993366"/>
      </patternFill>
    </fill>
  </fills>
  <borders count="9">
    <border>
      <left/>
      <right/>
      <top/>
      <bottom/>
      <diagonal/>
    </border>
    <border>
      <left style="thin">
        <color rgb="FFD3D1C7"/>
      </left>
      <right style="thin">
        <color rgb="FFD3D1C7"/>
      </right>
      <top style="thin">
        <color rgb="FFD3D1C7"/>
      </top>
      <bottom style="thin">
        <color rgb="FFD3D1C7"/>
      </bottom>
      <diagonal/>
    </border>
    <border>
      <left style="thin">
        <color rgb="FFD3D1C7"/>
      </left>
      <right style="thin">
        <color rgb="FFD3D1C7"/>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D3D1C7"/>
      </left>
      <right/>
      <top style="thin">
        <color rgb="FFD3D1C7"/>
      </top>
      <bottom style="thin">
        <color rgb="FFD3D1C7"/>
      </bottom>
      <diagonal/>
    </border>
    <border>
      <left style="thin">
        <color rgb="FFD3D1C7"/>
      </left>
      <right style="thin">
        <color rgb="FFD3D1C7"/>
      </right>
      <top/>
      <bottom style="thin">
        <color rgb="FFD3D1C7"/>
      </bottom>
      <diagonal/>
    </border>
    <border>
      <left/>
      <right/>
      <top style="thin">
        <color rgb="FFD3D1C7"/>
      </top>
      <bottom style="thin">
        <color rgb="FFD3D1C7"/>
      </bottom>
      <diagonal/>
    </border>
  </borders>
  <cellStyleXfs count="1">
    <xf numFmtId="0" fontId="0" fillId="0" borderId="0"/>
  </cellStyleXfs>
  <cellXfs count="129">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2" fillId="4" borderId="0" xfId="0" applyFont="1" applyFill="1" applyAlignment="1">
      <alignment horizontal="left" vertical="center" wrapText="1"/>
    </xf>
    <xf numFmtId="0" fontId="3" fillId="5" borderId="0" xfId="0" applyFont="1" applyFill="1" applyAlignment="1">
      <alignment horizontal="left" vertical="center" wrapText="1"/>
    </xf>
    <xf numFmtId="0" fontId="4" fillId="4" borderId="0" xfId="0" applyFont="1" applyFill="1" applyAlignment="1">
      <alignment horizontal="left" vertical="center" wrapText="1"/>
    </xf>
    <xf numFmtId="0" fontId="5" fillId="4" borderId="0" xfId="0" applyFont="1" applyFill="1" applyAlignment="1">
      <alignment horizontal="left" vertical="center" wrapText="1"/>
    </xf>
    <xf numFmtId="0" fontId="6" fillId="4" borderId="0" xfId="0" applyFont="1" applyFill="1" applyAlignment="1">
      <alignment horizontal="left" vertical="center" wrapText="1"/>
    </xf>
    <xf numFmtId="0" fontId="9" fillId="6"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9" fillId="8" borderId="1" xfId="0" applyFont="1" applyFill="1" applyBorder="1" applyAlignment="1">
      <alignment horizontal="center" vertical="center"/>
    </xf>
    <xf numFmtId="0" fontId="0" fillId="0" borderId="0" xfId="0" applyAlignment="1">
      <alignment wrapText="1"/>
    </xf>
    <xf numFmtId="0" fontId="2" fillId="12" borderId="1" xfId="0" applyFont="1" applyFill="1" applyBorder="1" applyAlignment="1">
      <alignment horizontal="left" vertical="center" wrapText="1"/>
    </xf>
    <xf numFmtId="0" fontId="0" fillId="13" borderId="0" xfId="0" applyFill="1" applyAlignment="1">
      <alignment wrapText="1"/>
    </xf>
    <xf numFmtId="0" fontId="2" fillId="4" borderId="2"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12" fillId="15" borderId="3" xfId="0" applyFont="1" applyFill="1" applyBorder="1" applyAlignment="1">
      <alignment horizontal="center" vertical="center" wrapText="1"/>
    </xf>
    <xf numFmtId="0" fontId="13" fillId="16" borderId="3" xfId="0" applyFont="1" applyFill="1" applyBorder="1" applyAlignment="1">
      <alignment vertical="top" wrapText="1"/>
    </xf>
    <xf numFmtId="0" fontId="13" fillId="17" borderId="3" xfId="0" applyFont="1" applyFill="1" applyBorder="1" applyAlignment="1">
      <alignment vertical="top" wrapText="1"/>
    </xf>
    <xf numFmtId="0" fontId="13" fillId="18" borderId="3" xfId="0" applyFont="1" applyFill="1" applyBorder="1" applyAlignment="1">
      <alignment vertical="top" wrapText="1"/>
    </xf>
    <xf numFmtId="0" fontId="13" fillId="19" borderId="3" xfId="0" applyFont="1" applyFill="1" applyBorder="1" applyAlignment="1">
      <alignment vertical="top" wrapText="1"/>
    </xf>
    <xf numFmtId="0" fontId="13" fillId="20" borderId="3" xfId="0" applyFont="1" applyFill="1" applyBorder="1" applyAlignment="1">
      <alignment vertical="top" wrapText="1"/>
    </xf>
    <xf numFmtId="0" fontId="13" fillId="21" borderId="3" xfId="0" applyFont="1" applyFill="1" applyBorder="1" applyAlignment="1">
      <alignment vertical="top" wrapText="1"/>
    </xf>
    <xf numFmtId="0" fontId="14" fillId="22" borderId="1" xfId="0" applyFont="1" applyFill="1" applyBorder="1" applyAlignment="1">
      <alignment horizontal="center" vertical="center"/>
    </xf>
    <xf numFmtId="0" fontId="15" fillId="23" borderId="1" xfId="0" applyFont="1" applyFill="1" applyBorder="1" applyAlignment="1">
      <alignment horizontal="center" vertical="center"/>
    </xf>
    <xf numFmtId="0" fontId="15" fillId="24" borderId="1" xfId="0" applyFont="1" applyFill="1" applyBorder="1" applyAlignment="1">
      <alignment horizontal="center" vertical="center"/>
    </xf>
    <xf numFmtId="0" fontId="14" fillId="25" borderId="1" xfId="0" applyFont="1" applyFill="1" applyBorder="1" applyAlignment="1">
      <alignment horizontal="center" vertical="center"/>
    </xf>
    <xf numFmtId="0" fontId="14" fillId="26" borderId="1" xfId="0" applyFont="1" applyFill="1" applyBorder="1" applyAlignment="1">
      <alignment horizontal="center" vertical="center"/>
    </xf>
    <xf numFmtId="0" fontId="14" fillId="27" borderId="1" xfId="0" applyFont="1" applyFill="1" applyBorder="1" applyAlignment="1">
      <alignment horizontal="center" vertical="center"/>
    </xf>
    <xf numFmtId="0" fontId="16" fillId="29" borderId="4" xfId="0" applyFont="1" applyFill="1" applyBorder="1" applyAlignment="1">
      <alignment vertical="top" wrapText="1"/>
    </xf>
    <xf numFmtId="0" fontId="16" fillId="30" borderId="4" xfId="0" applyFont="1" applyFill="1" applyBorder="1" applyAlignment="1">
      <alignment vertical="top" wrapText="1"/>
    </xf>
    <xf numFmtId="0" fontId="0" fillId="29" borderId="1" xfId="0" applyFill="1" applyBorder="1" applyAlignment="1">
      <alignment horizontal="center" vertical="center" wrapText="1"/>
    </xf>
    <xf numFmtId="0" fontId="12" fillId="31" borderId="1" xfId="0" applyFont="1" applyFill="1" applyBorder="1" applyAlignment="1">
      <alignment horizontal="center" vertical="center"/>
    </xf>
    <xf numFmtId="0" fontId="0" fillId="0" borderId="0" xfId="0" applyAlignment="1">
      <alignment horizontal="left" vertical="center" wrapText="1"/>
    </xf>
    <xf numFmtId="0" fontId="16" fillId="30" borderId="5" xfId="0" applyFont="1" applyFill="1" applyBorder="1" applyAlignment="1">
      <alignment vertical="top" wrapText="1"/>
    </xf>
    <xf numFmtId="0" fontId="16" fillId="29" borderId="5" xfId="0" applyFont="1" applyFill="1" applyBorder="1" applyAlignment="1">
      <alignment vertical="top" wrapText="1"/>
    </xf>
    <xf numFmtId="0" fontId="0" fillId="29" borderId="7" xfId="0" applyFill="1" applyBorder="1" applyAlignment="1">
      <alignment horizontal="center" vertical="center" wrapText="1"/>
    </xf>
    <xf numFmtId="0" fontId="2" fillId="29" borderId="7" xfId="0" applyFont="1" applyFill="1" applyBorder="1" applyAlignment="1">
      <alignment horizontal="center" vertical="center" wrapText="1"/>
    </xf>
    <xf numFmtId="0" fontId="0" fillId="29" borderId="4" xfId="0" applyFill="1" applyBorder="1" applyAlignment="1">
      <alignment horizontal="center" vertical="center" wrapText="1"/>
    </xf>
    <xf numFmtId="0" fontId="2" fillId="29" borderId="4" xfId="0" applyFont="1" applyFill="1" applyBorder="1" applyAlignment="1">
      <alignment horizontal="center" vertical="center" wrapText="1"/>
    </xf>
    <xf numFmtId="0" fontId="16" fillId="29" borderId="4" xfId="0" applyFont="1" applyFill="1" applyBorder="1" applyAlignment="1">
      <alignment horizontal="left" vertical="top" wrapText="1"/>
    </xf>
    <xf numFmtId="0" fontId="16" fillId="30" borderId="4" xfId="0" applyFont="1" applyFill="1" applyBorder="1" applyAlignment="1">
      <alignment horizontal="left" vertical="top" wrapText="1"/>
    </xf>
    <xf numFmtId="0" fontId="13" fillId="29" borderId="4" xfId="0" applyFont="1" applyFill="1" applyBorder="1" applyAlignment="1">
      <alignment horizontal="left" vertical="top" wrapText="1"/>
    </xf>
    <xf numFmtId="0" fontId="0" fillId="29" borderId="4" xfId="0" applyFill="1" applyBorder="1" applyAlignment="1">
      <alignment horizontal="left" vertical="top" wrapText="1"/>
    </xf>
    <xf numFmtId="0" fontId="0" fillId="29" borderId="6" xfId="0" applyFill="1" applyBorder="1" applyAlignment="1">
      <alignment horizontal="center" vertical="top" wrapText="1"/>
    </xf>
    <xf numFmtId="0" fontId="17" fillId="28" borderId="4" xfId="0" applyFont="1" applyFill="1" applyBorder="1" applyAlignment="1">
      <alignment horizontal="center" vertical="center" wrapText="1"/>
    </xf>
    <xf numFmtId="0" fontId="18" fillId="23" borderId="4" xfId="0" applyFont="1" applyFill="1" applyBorder="1" applyAlignment="1">
      <alignment horizontal="center" vertical="center" wrapText="1"/>
    </xf>
    <xf numFmtId="0" fontId="19" fillId="0" borderId="4" xfId="0" applyFont="1" applyBorder="1" applyAlignment="1">
      <alignment horizontal="center" vertical="center" wrapText="1"/>
    </xf>
    <xf numFmtId="0" fontId="18" fillId="29" borderId="4" xfId="0" applyFont="1" applyFill="1" applyBorder="1" applyAlignment="1">
      <alignment horizontal="center" vertical="center" wrapText="1"/>
    </xf>
    <xf numFmtId="0" fontId="19" fillId="29" borderId="4" xfId="0" applyFont="1" applyFill="1" applyBorder="1" applyAlignment="1">
      <alignment horizontal="center" vertical="center" wrapText="1"/>
    </xf>
    <xf numFmtId="0" fontId="0" fillId="0" borderId="0" xfId="0" applyAlignment="1">
      <alignment horizontal="center" vertical="center"/>
    </xf>
    <xf numFmtId="0" fontId="16" fillId="29" borderId="4" xfId="0" applyFont="1" applyFill="1" applyBorder="1" applyAlignment="1">
      <alignment horizontal="center" vertical="center" wrapText="1"/>
    </xf>
    <xf numFmtId="0" fontId="16" fillId="30" borderId="4" xfId="0" applyFont="1" applyFill="1" applyBorder="1" applyAlignment="1">
      <alignment horizontal="center" vertical="center" wrapText="1"/>
    </xf>
    <xf numFmtId="0" fontId="13" fillId="29" borderId="4" xfId="0" applyFont="1" applyFill="1" applyBorder="1" applyAlignment="1">
      <alignment horizontal="center" vertical="center" wrapText="1"/>
    </xf>
    <xf numFmtId="0" fontId="20" fillId="7" borderId="1" xfId="0" applyFont="1" applyFill="1" applyBorder="1" applyAlignment="1">
      <alignment horizontal="left" vertical="center" indent="1"/>
    </xf>
    <xf numFmtId="0" fontId="21" fillId="7" borderId="1" xfId="0" applyFont="1" applyFill="1" applyBorder="1" applyAlignment="1">
      <alignment horizontal="center" vertical="center" wrapText="1"/>
    </xf>
    <xf numFmtId="0" fontId="20" fillId="6" borderId="1" xfId="0" applyFont="1" applyFill="1" applyBorder="1" applyAlignment="1">
      <alignment horizontal="left" vertical="center" indent="1"/>
    </xf>
    <xf numFmtId="164" fontId="21" fillId="6" borderId="1" xfId="0" applyNumberFormat="1" applyFont="1" applyFill="1" applyBorder="1" applyAlignment="1">
      <alignment horizontal="center" vertical="center" wrapText="1"/>
    </xf>
    <xf numFmtId="0" fontId="21" fillId="6" borderId="1" xfId="0" applyFont="1" applyFill="1" applyBorder="1" applyAlignment="1">
      <alignment horizontal="center" vertical="center" wrapText="1"/>
    </xf>
    <xf numFmtId="1" fontId="21" fillId="6" borderId="1" xfId="0" applyNumberFormat="1" applyFont="1" applyFill="1" applyBorder="1" applyAlignment="1">
      <alignment horizontal="center" vertical="center" wrapText="1"/>
    </xf>
    <xf numFmtId="9" fontId="21" fillId="6" borderId="1" xfId="0" applyNumberFormat="1" applyFont="1" applyFill="1" applyBorder="1" applyAlignment="1">
      <alignment horizontal="center" vertical="center" wrapText="1"/>
    </xf>
    <xf numFmtId="0" fontId="20" fillId="8" borderId="1" xfId="0" applyFont="1" applyFill="1" applyBorder="1" applyAlignment="1">
      <alignment horizontal="left" vertical="center" indent="1"/>
    </xf>
    <xf numFmtId="164" fontId="21" fillId="8" borderId="1" xfId="0" applyNumberFormat="1" applyFont="1" applyFill="1" applyBorder="1" applyAlignment="1">
      <alignment horizontal="center" vertical="center" wrapText="1"/>
    </xf>
    <xf numFmtId="0" fontId="21" fillId="8" borderId="1" xfId="0" applyFont="1" applyFill="1" applyBorder="1" applyAlignment="1">
      <alignment horizontal="center" vertical="center" wrapText="1"/>
    </xf>
    <xf numFmtId="1" fontId="21" fillId="8" borderId="1" xfId="0" applyNumberFormat="1" applyFont="1" applyFill="1" applyBorder="1" applyAlignment="1">
      <alignment horizontal="center" vertical="center" wrapText="1"/>
    </xf>
    <xf numFmtId="9" fontId="21" fillId="8" borderId="1" xfId="0" applyNumberFormat="1" applyFont="1" applyFill="1" applyBorder="1" applyAlignment="1">
      <alignment horizontal="center" vertical="center" wrapText="1"/>
    </xf>
    <xf numFmtId="0" fontId="20" fillId="2" borderId="1" xfId="0" applyFont="1" applyFill="1" applyBorder="1" applyAlignment="1">
      <alignment horizontal="left" vertical="center" indent="1"/>
    </xf>
    <xf numFmtId="164" fontId="20"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1" fontId="20" fillId="2" borderId="1" xfId="0" applyNumberFormat="1" applyFont="1" applyFill="1" applyBorder="1" applyAlignment="1">
      <alignment horizontal="center" vertical="center" wrapText="1"/>
    </xf>
    <xf numFmtId="9" fontId="20" fillId="2" borderId="1" xfId="0" applyNumberFormat="1" applyFont="1" applyFill="1" applyBorder="1" applyAlignment="1">
      <alignment horizontal="center" vertical="center" wrapText="1"/>
    </xf>
    <xf numFmtId="0" fontId="20" fillId="9" borderId="1" xfId="0" applyFont="1" applyFill="1" applyBorder="1" applyAlignment="1">
      <alignment horizontal="left" vertical="center" indent="1"/>
    </xf>
    <xf numFmtId="164" fontId="21" fillId="9" borderId="1" xfId="0" applyNumberFormat="1" applyFont="1" applyFill="1" applyBorder="1" applyAlignment="1">
      <alignment horizontal="center" vertical="center" wrapText="1"/>
    </xf>
    <xf numFmtId="0" fontId="21" fillId="9" borderId="1" xfId="0" applyFont="1" applyFill="1" applyBorder="1" applyAlignment="1">
      <alignment horizontal="center" vertical="center" wrapText="1"/>
    </xf>
    <xf numFmtId="1" fontId="21" fillId="9" borderId="1" xfId="0" applyNumberFormat="1" applyFont="1" applyFill="1" applyBorder="1" applyAlignment="1">
      <alignment horizontal="center" vertical="center" wrapText="1"/>
    </xf>
    <xf numFmtId="9" fontId="21" fillId="9" borderId="1" xfId="0" applyNumberFormat="1" applyFont="1" applyFill="1" applyBorder="1" applyAlignment="1">
      <alignment horizontal="center" vertical="center" wrapText="1"/>
    </xf>
    <xf numFmtId="0" fontId="20" fillId="10" borderId="1" xfId="0" applyFont="1" applyFill="1" applyBorder="1" applyAlignment="1">
      <alignment horizontal="left" vertical="center" indent="1"/>
    </xf>
    <xf numFmtId="164" fontId="21" fillId="10"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1" fontId="21" fillId="10" borderId="1" xfId="0" applyNumberFormat="1" applyFont="1" applyFill="1" applyBorder="1" applyAlignment="1">
      <alignment horizontal="center" vertical="center" wrapText="1"/>
    </xf>
    <xf numFmtId="9" fontId="21" fillId="10" borderId="1" xfId="0" applyNumberFormat="1" applyFont="1" applyFill="1" applyBorder="1" applyAlignment="1">
      <alignment horizontal="center" vertical="center" wrapText="1"/>
    </xf>
    <xf numFmtId="0" fontId="20" fillId="11" borderId="1" xfId="0" applyFont="1" applyFill="1" applyBorder="1" applyAlignment="1">
      <alignment horizontal="left" vertical="center" indent="1"/>
    </xf>
    <xf numFmtId="164" fontId="20" fillId="11" borderId="1" xfId="0" applyNumberFormat="1" applyFont="1" applyFill="1" applyBorder="1" applyAlignment="1">
      <alignment horizontal="center" vertical="center" wrapText="1"/>
    </xf>
    <xf numFmtId="0" fontId="20" fillId="11" borderId="1" xfId="0" applyFont="1" applyFill="1" applyBorder="1" applyAlignment="1">
      <alignment horizontal="center" vertical="center" wrapText="1"/>
    </xf>
    <xf numFmtId="1" fontId="20" fillId="11" borderId="1" xfId="0" applyNumberFormat="1" applyFont="1" applyFill="1" applyBorder="1" applyAlignment="1">
      <alignment horizontal="center" vertical="center" wrapText="1"/>
    </xf>
    <xf numFmtId="9" fontId="20" fillId="11" borderId="1" xfId="0" applyNumberFormat="1" applyFont="1" applyFill="1" applyBorder="1" applyAlignment="1">
      <alignment horizontal="center" vertical="center" wrapText="1"/>
    </xf>
    <xf numFmtId="0" fontId="22" fillId="0" borderId="0" xfId="0" applyFont="1"/>
    <xf numFmtId="0" fontId="20" fillId="32" borderId="1" xfId="0" applyFont="1" applyFill="1" applyBorder="1" applyAlignment="1">
      <alignment horizontal="left" vertical="center" indent="1"/>
    </xf>
    <xf numFmtId="164" fontId="20" fillId="34" borderId="1" xfId="0" applyNumberFormat="1" applyFont="1" applyFill="1" applyBorder="1" applyAlignment="1">
      <alignment horizontal="center" vertical="center" wrapText="1"/>
    </xf>
    <xf numFmtId="1" fontId="20" fillId="34" borderId="1" xfId="0" applyNumberFormat="1" applyFont="1" applyFill="1" applyBorder="1" applyAlignment="1">
      <alignment horizontal="center" vertical="center" wrapText="1"/>
    </xf>
    <xf numFmtId="0" fontId="20" fillId="33" borderId="1" xfId="0" applyFont="1" applyFill="1" applyBorder="1" applyAlignment="1">
      <alignment horizontal="left" vertical="center" indent="1"/>
    </xf>
    <xf numFmtId="1" fontId="20" fillId="35" borderId="1" xfId="0" applyNumberFormat="1" applyFont="1" applyFill="1" applyBorder="1" applyAlignment="1">
      <alignment horizontal="center" vertical="center" wrapText="1"/>
    </xf>
    <xf numFmtId="0" fontId="2" fillId="3" borderId="1" xfId="0" applyFont="1" applyFill="1" applyBorder="1" applyAlignment="1">
      <alignment horizontal="left" vertical="top" wrapText="1"/>
    </xf>
    <xf numFmtId="0" fontId="0" fillId="13" borderId="0" xfId="0" applyFill="1" applyAlignment="1">
      <alignment vertical="top" wrapText="1"/>
    </xf>
    <xf numFmtId="0" fontId="2" fillId="4" borderId="1" xfId="0" applyFont="1" applyFill="1" applyBorder="1" applyAlignment="1">
      <alignment horizontal="left" vertical="top" wrapText="1"/>
    </xf>
    <xf numFmtId="0" fontId="0" fillId="0" borderId="0" xfId="0" applyAlignment="1">
      <alignment vertical="top" wrapText="1"/>
    </xf>
    <xf numFmtId="0" fontId="2" fillId="4" borderId="1" xfId="0" applyFont="1" applyFill="1" applyBorder="1" applyAlignment="1">
      <alignment horizontal="left" vertical="top"/>
    </xf>
    <xf numFmtId="0" fontId="2" fillId="3" borderId="1" xfId="0" applyFont="1" applyFill="1" applyBorder="1" applyAlignment="1">
      <alignment horizontal="left" vertical="top"/>
    </xf>
    <xf numFmtId="0" fontId="2" fillId="3" borderId="2" xfId="0" applyFont="1" applyFill="1" applyBorder="1" applyAlignment="1">
      <alignment horizontal="left" vertical="top" wrapText="1"/>
    </xf>
    <xf numFmtId="0" fontId="9" fillId="7" borderId="0" xfId="0" applyFont="1" applyFill="1" applyAlignment="1">
      <alignment horizontal="left" vertical="center"/>
    </xf>
    <xf numFmtId="0" fontId="0" fillId="0" borderId="0" xfId="0"/>
    <xf numFmtId="0" fontId="8" fillId="3" borderId="0" xfId="0" applyFont="1" applyFill="1" applyAlignment="1">
      <alignment horizontal="left" vertical="center" indent="1"/>
    </xf>
    <xf numFmtId="0" fontId="7" fillId="6" borderId="0" xfId="0" applyFont="1" applyFill="1" applyAlignment="1">
      <alignment horizontal="center" vertical="center" wrapText="1"/>
    </xf>
    <xf numFmtId="0" fontId="9" fillId="7" borderId="8" xfId="0" applyFont="1" applyFill="1" applyBorder="1" applyAlignment="1">
      <alignment horizontal="left" vertical="center"/>
    </xf>
    <xf numFmtId="0" fontId="0" fillId="0" borderId="8" xfId="0" applyBorder="1"/>
    <xf numFmtId="0" fontId="0" fillId="0" borderId="8" xfId="0" applyBorder="1" applyAlignment="1">
      <alignment vertical="center"/>
    </xf>
    <xf numFmtId="0" fontId="0" fillId="0" borderId="0" xfId="0" applyAlignment="1">
      <alignment vertical="center"/>
    </xf>
    <xf numFmtId="0" fontId="7" fillId="8" borderId="0" xfId="0" applyFont="1" applyFill="1" applyAlignment="1">
      <alignment horizontal="center" vertical="center" wrapText="1"/>
    </xf>
    <xf numFmtId="0" fontId="7" fillId="2" borderId="0" xfId="0" applyFont="1" applyFill="1" applyAlignment="1">
      <alignment horizontal="center" vertical="center" wrapText="1"/>
    </xf>
    <xf numFmtId="0" fontId="7" fillId="9" borderId="0" xfId="0" applyFont="1" applyFill="1" applyAlignment="1">
      <alignment horizontal="center" vertical="center" wrapText="1"/>
    </xf>
    <xf numFmtId="0" fontId="7" fillId="10" borderId="0" xfId="0" applyFont="1" applyFill="1" applyAlignment="1">
      <alignment horizontal="center" vertical="center" wrapText="1"/>
    </xf>
    <xf numFmtId="0" fontId="7" fillId="11" borderId="0" xfId="0" applyFont="1" applyFill="1" applyAlignment="1">
      <alignment horizontal="center" vertical="center" wrapText="1"/>
    </xf>
    <xf numFmtId="0" fontId="7" fillId="7" borderId="0" xfId="0" applyFont="1" applyFill="1" applyAlignment="1">
      <alignment horizontal="center" vertical="center" wrapText="1"/>
    </xf>
    <xf numFmtId="0" fontId="23" fillId="5" borderId="0" xfId="0" applyFont="1" applyFill="1" applyAlignment="1">
      <alignment horizontal="left" vertical="center" indent="1"/>
    </xf>
    <xf numFmtId="0" fontId="22" fillId="0" borderId="0" xfId="0" applyFont="1"/>
    <xf numFmtId="0" fontId="1" fillId="2" borderId="0" xfId="0" applyFont="1" applyFill="1" applyAlignment="1">
      <alignment horizontal="center" vertical="center" wrapText="1"/>
    </xf>
    <xf numFmtId="0" fontId="11" fillId="0" borderId="0" xfId="0" applyFont="1" applyAlignment="1">
      <alignment horizontal="center"/>
    </xf>
    <xf numFmtId="0" fontId="10" fillId="15" borderId="0" xfId="0" applyFont="1" applyFill="1" applyAlignment="1">
      <alignment horizontal="center" vertical="center"/>
    </xf>
  </cellXfs>
  <cellStyles count="1">
    <cellStyle name="Normal" xfId="0" builtinId="0"/>
  </cellStyles>
  <dxfs count="54">
    <dxf>
      <font>
        <color rgb="FF006100"/>
      </font>
      <fill>
        <patternFill>
          <bgColor rgb="FFC6EFCE"/>
        </patternFill>
      </fill>
    </dxf>
    <dxf>
      <font>
        <color rgb="FF9C0006"/>
      </font>
    </dxf>
    <dxf>
      <font>
        <color rgb="FF006100"/>
      </font>
      <fill>
        <patternFill>
          <bgColor rgb="FFC6EFCE"/>
        </patternFill>
      </fill>
    </dxf>
    <dxf>
      <font>
        <color theme="1"/>
      </font>
      <fill>
        <patternFill>
          <bgColor rgb="FFE60A00"/>
        </patternFill>
      </fill>
    </dxf>
    <dxf>
      <font>
        <color theme="1"/>
      </font>
      <fill>
        <patternFill>
          <bgColor rgb="FFFF8000"/>
        </patternFill>
      </fill>
    </dxf>
    <dxf>
      <font>
        <color theme="1"/>
      </font>
      <fill>
        <patternFill>
          <bgColor rgb="FFFFD800"/>
        </patternFill>
      </fill>
    </dxf>
    <dxf>
      <font>
        <color theme="1"/>
      </font>
      <fill>
        <patternFill>
          <bgColor rgb="FF00FF00"/>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b/>
        <sz val="11"/>
        <color rgb="FFFFFFFF"/>
        <name val="Arial"/>
      </font>
      <fill>
        <patternFill patternType="solid">
          <fgColor rgb="FF27AE60"/>
          <bgColor rgb="FF27AE60"/>
        </patternFill>
      </fill>
    </dxf>
    <dxf>
      <font>
        <b/>
        <sz val="11"/>
        <color rgb="FFFFFFFF"/>
        <name val="Arial"/>
      </font>
      <fill>
        <patternFill patternType="solid">
          <fgColor rgb="FF2ECC71"/>
          <bgColor rgb="FF2ECC71"/>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color rgb="FF9C0006"/>
      </font>
    </dxf>
    <dxf>
      <font>
        <b/>
        <sz val="11"/>
        <color rgb="FFFFFFFF"/>
        <name val="Arial"/>
      </font>
      <fill>
        <patternFill patternType="solid">
          <fgColor rgb="FF27AE60"/>
          <bgColor rgb="FF27AE60"/>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b/>
        <sz val="11"/>
        <color rgb="FFFFFFFF"/>
        <name val="Arial"/>
      </font>
      <fill>
        <patternFill patternType="solid">
          <fgColor rgb="FF2ECC71"/>
          <bgColor rgb="FF2ECC71"/>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color rgb="FF9C0006"/>
      </font>
    </dxf>
    <dxf>
      <font>
        <b/>
        <sz val="11"/>
        <color rgb="FFFFFFFF"/>
        <name val="Arial"/>
      </font>
      <fill>
        <patternFill patternType="solid">
          <fgColor rgb="FF27AE60"/>
          <bgColor rgb="FF27AE60"/>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b/>
        <sz val="11"/>
        <color rgb="FFFFFFFF"/>
        <name val="Arial"/>
      </font>
      <fill>
        <patternFill patternType="solid">
          <fgColor rgb="FF2ECC71"/>
          <bgColor rgb="FF2ECC71"/>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color rgb="FF9C0006"/>
      </font>
    </dxf>
    <dxf>
      <font>
        <b/>
        <sz val="11"/>
        <color rgb="FFFFFFFF"/>
        <name val="Arial"/>
      </font>
      <fill>
        <patternFill patternType="solid">
          <fgColor rgb="FF27AE60"/>
          <bgColor rgb="FF27AE60"/>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b/>
        <sz val="11"/>
        <color rgb="FFFFFFFF"/>
        <name val="Arial"/>
      </font>
      <fill>
        <patternFill patternType="solid">
          <fgColor rgb="FF2ECC71"/>
          <bgColor rgb="FF2ECC71"/>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color rgb="FF9C0006"/>
      </font>
    </dxf>
    <dxf>
      <font>
        <b/>
        <sz val="11"/>
        <color rgb="FFFFFFFF"/>
        <name val="Arial"/>
      </font>
      <fill>
        <patternFill patternType="solid">
          <fgColor rgb="FF27AE60"/>
          <bgColor rgb="FF27AE60"/>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b/>
        <sz val="11"/>
        <color rgb="FFFFFFFF"/>
        <name val="Arial"/>
      </font>
      <fill>
        <patternFill patternType="solid">
          <fgColor rgb="FF2ECC71"/>
          <bgColor rgb="FF2ECC71"/>
        </patternFill>
      </fill>
    </dxf>
    <dxf>
      <font>
        <sz val="10"/>
        <color rgb="FF633806"/>
        <name val="Arial"/>
        <charset val="1"/>
      </font>
      <fill>
        <patternFill>
          <bgColor rgb="FFFAC775"/>
        </patternFill>
      </fill>
    </dxf>
    <dxf>
      <font>
        <sz val="10"/>
        <color rgb="FF27500A"/>
        <name val="Arial"/>
        <charset val="1"/>
      </font>
      <fill>
        <patternFill>
          <bgColor rgb="FFC0DD97"/>
        </patternFill>
      </fill>
    </dxf>
    <dxf>
      <font>
        <color rgb="FF9C0006"/>
      </font>
    </dxf>
    <dxf>
      <font>
        <b/>
        <sz val="11"/>
        <color rgb="FFFFFFFF"/>
        <name val="Arial"/>
      </font>
      <fill>
        <patternFill patternType="solid">
          <fgColor rgb="FF27AE60"/>
          <bgColor rgb="FF27AE60"/>
        </patternFill>
      </fill>
    </dxf>
    <dxf>
      <font>
        <b/>
        <sz val="11"/>
        <color rgb="FF000000"/>
        <name val="Arial"/>
      </font>
      <fill>
        <patternFill patternType="solid">
          <fgColor rgb="FFF1C40F"/>
          <bgColor rgb="FFF1C40F"/>
        </patternFill>
      </fill>
    </dxf>
    <dxf>
      <font>
        <b/>
        <sz val="11"/>
        <color rgb="FFFFFFFF"/>
        <name val="Arial"/>
      </font>
      <fill>
        <patternFill patternType="solid">
          <fgColor rgb="FFFF8C00"/>
          <bgColor rgb="FFFF8C00"/>
        </patternFill>
      </fill>
    </dxf>
    <dxf>
      <font>
        <b/>
        <sz val="11"/>
        <color rgb="FFFFFFFF"/>
        <name val="Arial"/>
      </font>
      <fill>
        <patternFill patternType="solid">
          <fgColor rgb="FFE74C3C"/>
          <bgColor rgb="FFE74C3C"/>
        </patternFill>
      </fill>
    </dxf>
    <dxf>
      <font>
        <b/>
        <sz val="11"/>
        <color rgb="FFFFFFFF"/>
        <name val="Arial"/>
      </font>
      <fill>
        <patternFill patternType="solid">
          <fgColor rgb="FF2ECC71"/>
          <bgColor rgb="FF2ECC7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501313"/>
      <rgbColor rgb="FF27500A"/>
      <rgbColor rgb="FF000080"/>
      <rgbColor rgb="FF854F0B"/>
      <rgbColor rgb="FF800080"/>
      <rgbColor rgb="FF0F6E56"/>
      <rgbColor rgb="FFD3D1C7"/>
      <rgbColor rgb="FF808080"/>
      <rgbColor rgb="FF9999FF"/>
      <rgbColor rgb="FF633806"/>
      <rgbColor rgb="FFF1EFE8"/>
      <rgbColor rgb="FFE1F5EE"/>
      <rgbColor rgb="FF660066"/>
      <rgbColor rgb="FFF09595"/>
      <rgbColor rgb="FF085041"/>
      <rgbColor rgb="FFCCCCFF"/>
      <rgbColor rgb="FF000080"/>
      <rgbColor rgb="FFFF00FF"/>
      <rgbColor rgb="FFFFFF00"/>
      <rgbColor rgb="FF00FFFF"/>
      <rgbColor rgb="FF800080"/>
      <rgbColor rgb="FF800000"/>
      <rgbColor rgb="FF1D6E6E"/>
      <rgbColor rgb="FF0000FF"/>
      <rgbColor rgb="FF00CCFF"/>
      <rgbColor rgb="FFCCFFFF"/>
      <rgbColor rgb="FFC0DD97"/>
      <rgbColor rgb="FFFFFF99"/>
      <rgbColor rgb="FF9FE1CB"/>
      <rgbColor rgb="FFFF99CC"/>
      <rgbColor rgb="FFCC99FF"/>
      <rgbColor rgb="FFFAC775"/>
      <rgbColor rgb="FF3366FF"/>
      <rgbColor rgb="FF33CCCC"/>
      <rgbColor rgb="FF99CC00"/>
      <rgbColor rgb="FFFFCC00"/>
      <rgbColor rgb="FFFF9900"/>
      <rgbColor rgb="FFFF6600"/>
      <rgbColor rgb="FF666699"/>
      <rgbColor rgb="FF969696"/>
      <rgbColor rgb="FF0C447C"/>
      <rgbColor rgb="FF339966"/>
      <rgbColor rgb="FF1A1A1A"/>
      <rgbColor rgb="FF412402"/>
      <rgbColor rgb="FFA32D2D"/>
      <rgbColor rgb="FF993366"/>
      <rgbColor rgb="FF3C3489"/>
      <rgbColor rgb="FF2C2C2A"/>
      <rgbColor rgb="00003366"/>
      <rgbColor rgb="00339966"/>
      <rgbColor rgb="00003300"/>
      <rgbColor rgb="00333300"/>
      <rgbColor rgb="00993300"/>
      <rgbColor rgb="00993366"/>
      <rgbColor rgb="00333399"/>
      <rgbColor rgb="00333333"/>
    </indexedColors>
    <mruColors>
      <color rgb="FFFF8000"/>
      <color rgb="FF00FF00"/>
      <color rgb="FFFFD800"/>
      <color rgb="FFFFF01C"/>
      <color rgb="FFFFA000"/>
      <color rgb="FFE60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8"/>
  <sheetViews>
    <sheetView showGridLines="0" topLeftCell="A15" zoomScale="130" zoomScaleNormal="130" workbookViewId="0">
      <selection activeCell="B11" sqref="B11"/>
    </sheetView>
  </sheetViews>
  <sheetFormatPr baseColWidth="10" defaultColWidth="8.6640625" defaultRowHeight="15" x14ac:dyDescent="0.2"/>
  <cols>
    <col min="1" max="1" width="2" customWidth="1"/>
    <col min="2" max="2" width="113.5" customWidth="1"/>
  </cols>
  <sheetData>
    <row r="2" spans="2:2" ht="36" customHeight="1" x14ac:dyDescent="0.2">
      <c r="B2" s="1" t="s">
        <v>44</v>
      </c>
    </row>
    <row r="3" spans="2:2" ht="29" customHeight="1" x14ac:dyDescent="0.2">
      <c r="B3" s="2" t="s">
        <v>45</v>
      </c>
    </row>
    <row r="4" spans="2:2" ht="18" customHeight="1" x14ac:dyDescent="0.2">
      <c r="B4" s="3"/>
    </row>
    <row r="5" spans="2:2" ht="19.5" customHeight="1" x14ac:dyDescent="0.2">
      <c r="B5" s="4" t="s">
        <v>46</v>
      </c>
    </row>
    <row r="6" spans="2:2" ht="51.75" customHeight="1" x14ac:dyDescent="0.2">
      <c r="B6" s="3" t="s">
        <v>47</v>
      </c>
    </row>
    <row r="7" spans="2:2" ht="9.75" customHeight="1" x14ac:dyDescent="0.2">
      <c r="B7" s="3"/>
    </row>
    <row r="8" spans="2:2" ht="19.5" customHeight="1" x14ac:dyDescent="0.2">
      <c r="B8" s="4" t="s">
        <v>48</v>
      </c>
    </row>
    <row r="9" spans="2:2" ht="18" customHeight="1" x14ac:dyDescent="0.2">
      <c r="B9" s="3" t="s">
        <v>49</v>
      </c>
    </row>
    <row r="10" spans="2:2" ht="18" customHeight="1" x14ac:dyDescent="0.2">
      <c r="B10" s="3" t="s">
        <v>50</v>
      </c>
    </row>
    <row r="11" spans="2:2" ht="18" customHeight="1" x14ac:dyDescent="0.2">
      <c r="B11" s="3" t="s">
        <v>51</v>
      </c>
    </row>
    <row r="12" spans="2:2" ht="18" customHeight="1" x14ac:dyDescent="0.2">
      <c r="B12" s="3" t="s">
        <v>52</v>
      </c>
    </row>
    <row r="13" spans="2:2" ht="18" customHeight="1" x14ac:dyDescent="0.2">
      <c r="B13" s="3" t="s">
        <v>53</v>
      </c>
    </row>
    <row r="14" spans="2:2" ht="18" customHeight="1" x14ac:dyDescent="0.2">
      <c r="B14" s="3" t="s">
        <v>54</v>
      </c>
    </row>
    <row r="15" spans="2:2" ht="9.75" customHeight="1" x14ac:dyDescent="0.2">
      <c r="B15" s="3"/>
    </row>
    <row r="16" spans="2:2" ht="19.5" customHeight="1" x14ac:dyDescent="0.2">
      <c r="B16" s="4" t="s">
        <v>55</v>
      </c>
    </row>
    <row r="17" spans="2:2" ht="21.75" customHeight="1" x14ac:dyDescent="0.2">
      <c r="B17" s="3" t="s">
        <v>56</v>
      </c>
    </row>
    <row r="18" spans="2:2" ht="18" customHeight="1" x14ac:dyDescent="0.2">
      <c r="B18" s="3" t="s">
        <v>57</v>
      </c>
    </row>
    <row r="19" spans="2:2" ht="18" customHeight="1" x14ac:dyDescent="0.2">
      <c r="B19" s="3" t="s">
        <v>58</v>
      </c>
    </row>
    <row r="20" spans="2:2" ht="21" customHeight="1" x14ac:dyDescent="0.2">
      <c r="B20" s="3" t="s">
        <v>59</v>
      </c>
    </row>
    <row r="21" spans="2:2" ht="18" customHeight="1" x14ac:dyDescent="0.2">
      <c r="B21" s="3" t="s">
        <v>60</v>
      </c>
    </row>
    <row r="22" spans="2:2" ht="18" customHeight="1" x14ac:dyDescent="0.2">
      <c r="B22" s="3" t="s">
        <v>61</v>
      </c>
    </row>
    <row r="23" spans="2:2" ht="18" customHeight="1" x14ac:dyDescent="0.2">
      <c r="B23" s="3" t="s">
        <v>62</v>
      </c>
    </row>
    <row r="24" spans="2:2" ht="18" customHeight="1" x14ac:dyDescent="0.2">
      <c r="B24" s="3" t="s">
        <v>63</v>
      </c>
    </row>
    <row r="25" spans="2:2" ht="9.75" customHeight="1" x14ac:dyDescent="0.2">
      <c r="B25" s="3"/>
    </row>
    <row r="26" spans="2:2" ht="19.5" customHeight="1" x14ac:dyDescent="0.2">
      <c r="B26" s="4" t="s">
        <v>64</v>
      </c>
    </row>
    <row r="27" spans="2:2" ht="15.75" customHeight="1" x14ac:dyDescent="0.2">
      <c r="B27" s="5" t="s">
        <v>65</v>
      </c>
    </row>
    <row r="28" spans="2:2" ht="15.75" customHeight="1" x14ac:dyDescent="0.2">
      <c r="B28" s="6" t="s">
        <v>66</v>
      </c>
    </row>
    <row r="29" spans="2:2" ht="15.75" customHeight="1" x14ac:dyDescent="0.2">
      <c r="B29" s="3" t="s">
        <v>67</v>
      </c>
    </row>
    <row r="30" spans="2:2" ht="15.75" customHeight="1" x14ac:dyDescent="0.2">
      <c r="B30" s="7" t="s">
        <v>68</v>
      </c>
    </row>
    <row r="31" spans="2:2" ht="15.75" customHeight="1" x14ac:dyDescent="0.2">
      <c r="B31" s="7" t="s">
        <v>69</v>
      </c>
    </row>
    <row r="32" spans="2:2" ht="9.75" customHeight="1" x14ac:dyDescent="0.2">
      <c r="B32" s="3"/>
    </row>
    <row r="33" spans="2:2" ht="19.5" customHeight="1" x14ac:dyDescent="0.2">
      <c r="B33" s="4" t="s">
        <v>70</v>
      </c>
    </row>
    <row r="34" spans="2:2" ht="15.75" customHeight="1" x14ac:dyDescent="0.2">
      <c r="B34" s="3" t="s">
        <v>71</v>
      </c>
    </row>
    <row r="35" spans="2:2" ht="15.75" customHeight="1" x14ac:dyDescent="0.2">
      <c r="B35" s="3" t="s">
        <v>72</v>
      </c>
    </row>
    <row r="36" spans="2:2" ht="15.75" customHeight="1" x14ac:dyDescent="0.2">
      <c r="B36" s="3" t="s">
        <v>73</v>
      </c>
    </row>
    <row r="37" spans="2:2" ht="15.75" customHeight="1" x14ac:dyDescent="0.2">
      <c r="B37" s="3" t="s">
        <v>74</v>
      </c>
    </row>
    <row r="38" spans="2:2" ht="15.75" customHeight="1" x14ac:dyDescent="0.2">
      <c r="B38" s="3" t="s">
        <v>75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showGridLines="0" topLeftCell="C1" zoomScaleNormal="100" workbookViewId="0">
      <pane ySplit="3" topLeftCell="A18" activePane="bottomLeft" state="frozen"/>
      <selection pane="bottomLeft" activeCell="L3" sqref="L1:L1048576"/>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customWidth="1"/>
    <col min="10" max="10" width="16" customWidth="1"/>
    <col min="11" max="11" width="12" customWidth="1"/>
    <col min="12" max="12" width="14" customWidth="1"/>
  </cols>
  <sheetData>
    <row r="1" spans="1:12" ht="55.5" customHeight="1" x14ac:dyDescent="0.2">
      <c r="A1" s="113" t="s">
        <v>76</v>
      </c>
      <c r="B1" s="111"/>
      <c r="C1" s="111"/>
      <c r="D1" s="111"/>
      <c r="E1" s="111"/>
      <c r="F1" s="111"/>
      <c r="G1" s="111"/>
      <c r="H1" s="111"/>
      <c r="I1" s="111"/>
      <c r="J1" s="111"/>
      <c r="K1" s="111"/>
      <c r="L1" s="111"/>
    </row>
    <row r="2" spans="1:12" ht="55.5" customHeight="1" x14ac:dyDescent="0.2">
      <c r="A2" s="112" t="s">
        <v>77</v>
      </c>
      <c r="B2" s="111"/>
      <c r="C2" s="111"/>
      <c r="D2" s="111"/>
      <c r="E2" s="111"/>
      <c r="F2" s="111"/>
      <c r="G2" s="111"/>
      <c r="H2" s="111"/>
      <c r="I2" s="111"/>
      <c r="J2" s="111"/>
      <c r="K2" s="111"/>
      <c r="L2" s="111"/>
    </row>
    <row r="3" spans="1:12" ht="55.5" customHeight="1" x14ac:dyDescent="0.2">
      <c r="A3" s="8" t="s">
        <v>78</v>
      </c>
      <c r="B3" s="8" t="s">
        <v>79</v>
      </c>
      <c r="C3" s="8" t="s">
        <v>80</v>
      </c>
      <c r="D3" s="8" t="s">
        <v>81</v>
      </c>
      <c r="E3" s="8" t="s">
        <v>82</v>
      </c>
      <c r="F3" s="8" t="s">
        <v>83</v>
      </c>
      <c r="G3" s="8" t="s">
        <v>84</v>
      </c>
      <c r="H3" s="8" t="s">
        <v>85</v>
      </c>
      <c r="I3" s="8" t="s">
        <v>86</v>
      </c>
      <c r="J3" s="8" t="s">
        <v>87</v>
      </c>
      <c r="K3" s="8" t="s">
        <v>88</v>
      </c>
      <c r="L3" s="8" t="s">
        <v>6</v>
      </c>
    </row>
    <row r="4" spans="1:12" ht="19.5" customHeight="1" x14ac:dyDescent="0.2">
      <c r="A4" s="110" t="s">
        <v>89</v>
      </c>
      <c r="B4" s="111"/>
      <c r="C4" s="111"/>
      <c r="D4" s="111"/>
      <c r="E4" s="111"/>
      <c r="F4" s="111"/>
      <c r="G4" s="111"/>
      <c r="H4" s="111"/>
      <c r="I4" s="111"/>
      <c r="J4" s="111"/>
      <c r="K4" s="111"/>
      <c r="L4" s="111"/>
    </row>
    <row r="5" spans="1:12" ht="55.5" customHeight="1" x14ac:dyDescent="0.2">
      <c r="A5" s="9">
        <v>1</v>
      </c>
      <c r="B5" s="10" t="s">
        <v>90</v>
      </c>
      <c r="C5" s="10" t="s">
        <v>91</v>
      </c>
      <c r="D5" s="10" t="s">
        <v>92</v>
      </c>
      <c r="E5" s="34">
        <v>2</v>
      </c>
      <c r="F5" s="10" t="s">
        <v>93</v>
      </c>
      <c r="G5" s="10" t="s">
        <v>94</v>
      </c>
      <c r="H5" s="10" t="s">
        <v>95</v>
      </c>
      <c r="I5" s="10" t="s">
        <v>96</v>
      </c>
      <c r="J5" s="10" t="s">
        <v>97</v>
      </c>
      <c r="K5" s="9" t="s">
        <v>98</v>
      </c>
      <c r="L5" s="9" t="s">
        <v>99</v>
      </c>
    </row>
    <row r="6" spans="1:12" ht="55.5" customHeight="1" x14ac:dyDescent="0.2">
      <c r="A6" s="11">
        <v>2</v>
      </c>
      <c r="B6" s="12" t="s">
        <v>100</v>
      </c>
      <c r="C6" s="12" t="s">
        <v>101</v>
      </c>
      <c r="D6" s="12" t="s">
        <v>102</v>
      </c>
      <c r="E6" s="35">
        <v>3</v>
      </c>
      <c r="F6" s="12" t="s">
        <v>103</v>
      </c>
      <c r="G6" s="12" t="s">
        <v>104</v>
      </c>
      <c r="H6" s="12" t="s">
        <v>105</v>
      </c>
      <c r="I6" s="12" t="s">
        <v>106</v>
      </c>
      <c r="J6" s="12" t="s">
        <v>107</v>
      </c>
      <c r="K6" s="11" t="s">
        <v>108</v>
      </c>
      <c r="L6" s="11" t="s">
        <v>99</v>
      </c>
    </row>
    <row r="7" spans="1:12" ht="55.5" customHeight="1" x14ac:dyDescent="0.2">
      <c r="A7" s="9">
        <v>3</v>
      </c>
      <c r="B7" s="10" t="s">
        <v>109</v>
      </c>
      <c r="C7" s="10" t="s">
        <v>110</v>
      </c>
      <c r="D7" s="10" t="s">
        <v>111</v>
      </c>
      <c r="E7" s="35">
        <v>3</v>
      </c>
      <c r="F7" s="10" t="s">
        <v>112</v>
      </c>
      <c r="G7" s="10" t="s">
        <v>113</v>
      </c>
      <c r="H7" s="10" t="s">
        <v>114</v>
      </c>
      <c r="I7" s="10" t="s">
        <v>115</v>
      </c>
      <c r="J7" s="10" t="s">
        <v>107</v>
      </c>
      <c r="K7" s="9" t="s">
        <v>116</v>
      </c>
      <c r="L7" s="9" t="s">
        <v>99</v>
      </c>
    </row>
    <row r="8" spans="1:12" ht="55.5" customHeight="1" x14ac:dyDescent="0.2">
      <c r="A8" s="11">
        <v>4</v>
      </c>
      <c r="B8" s="12" t="s">
        <v>117</v>
      </c>
      <c r="C8" s="12" t="s">
        <v>118</v>
      </c>
      <c r="D8" s="12" t="s">
        <v>119</v>
      </c>
      <c r="E8" s="35">
        <v>3</v>
      </c>
      <c r="F8" s="12" t="s">
        <v>120</v>
      </c>
      <c r="G8" s="12" t="s">
        <v>121</v>
      </c>
      <c r="H8" s="12" t="s">
        <v>122</v>
      </c>
      <c r="I8" s="12" t="s">
        <v>123</v>
      </c>
      <c r="J8" s="12" t="s">
        <v>107</v>
      </c>
      <c r="K8" s="11" t="s">
        <v>108</v>
      </c>
      <c r="L8" s="11" t="s">
        <v>99</v>
      </c>
    </row>
    <row r="9" spans="1:12" ht="19.5" customHeight="1" x14ac:dyDescent="0.2">
      <c r="A9" s="110" t="s">
        <v>124</v>
      </c>
      <c r="B9" s="111"/>
      <c r="C9" s="111"/>
      <c r="D9" s="111"/>
      <c r="E9" s="111"/>
      <c r="F9" s="111"/>
      <c r="G9" s="111"/>
      <c r="H9" s="111"/>
      <c r="I9" s="111"/>
      <c r="J9" s="111"/>
      <c r="K9" s="111"/>
      <c r="L9" s="111"/>
    </row>
    <row r="10" spans="1:12" ht="55.5" customHeight="1" x14ac:dyDescent="0.2">
      <c r="A10" s="9">
        <v>5</v>
      </c>
      <c r="B10" s="10" t="s">
        <v>125</v>
      </c>
      <c r="C10" s="10" t="s">
        <v>126</v>
      </c>
      <c r="D10" s="10" t="s">
        <v>127</v>
      </c>
      <c r="E10" s="35">
        <v>3</v>
      </c>
      <c r="F10" s="10" t="s">
        <v>128</v>
      </c>
      <c r="G10" s="10" t="s">
        <v>129</v>
      </c>
      <c r="H10" s="10" t="s">
        <v>130</v>
      </c>
      <c r="I10" s="10" t="s">
        <v>131</v>
      </c>
      <c r="J10" s="10" t="s">
        <v>107</v>
      </c>
      <c r="K10" s="9" t="s">
        <v>108</v>
      </c>
      <c r="L10" s="9" t="s">
        <v>99</v>
      </c>
    </row>
    <row r="11" spans="1:12" ht="55.5" customHeight="1" x14ac:dyDescent="0.2">
      <c r="A11" s="11">
        <v>6</v>
      </c>
      <c r="B11" s="12" t="s">
        <v>132</v>
      </c>
      <c r="C11" s="12" t="s">
        <v>133</v>
      </c>
      <c r="D11" s="12" t="s">
        <v>134</v>
      </c>
      <c r="E11" s="35">
        <v>3</v>
      </c>
      <c r="F11" s="12" t="s">
        <v>135</v>
      </c>
      <c r="G11" s="12" t="s">
        <v>136</v>
      </c>
      <c r="H11" s="12" t="s">
        <v>137</v>
      </c>
      <c r="I11" s="12" t="s">
        <v>138</v>
      </c>
      <c r="J11" s="12" t="s">
        <v>107</v>
      </c>
      <c r="K11" s="11" t="s">
        <v>108</v>
      </c>
      <c r="L11" s="11" t="s">
        <v>99</v>
      </c>
    </row>
    <row r="12" spans="1:12" ht="55.5" customHeight="1" x14ac:dyDescent="0.2">
      <c r="A12" s="9">
        <v>7</v>
      </c>
      <c r="B12" s="10" t="s">
        <v>139</v>
      </c>
      <c r="C12" s="10" t="s">
        <v>140</v>
      </c>
      <c r="D12" s="10" t="s">
        <v>141</v>
      </c>
      <c r="E12" s="35">
        <v>3</v>
      </c>
      <c r="F12" s="10" t="s">
        <v>142</v>
      </c>
      <c r="G12" s="10" t="s">
        <v>143</v>
      </c>
      <c r="H12" s="10" t="s">
        <v>130</v>
      </c>
      <c r="I12" s="10" t="s">
        <v>144</v>
      </c>
      <c r="J12" s="10" t="s">
        <v>107</v>
      </c>
      <c r="K12" s="9" t="s">
        <v>108</v>
      </c>
      <c r="L12" s="9" t="s">
        <v>99</v>
      </c>
    </row>
    <row r="13" spans="1:12" ht="55.5" customHeight="1" x14ac:dyDescent="0.2">
      <c r="A13" s="11">
        <v>8</v>
      </c>
      <c r="B13" s="12" t="s">
        <v>145</v>
      </c>
      <c r="C13" s="12" t="s">
        <v>146</v>
      </c>
      <c r="D13" s="12" t="s">
        <v>147</v>
      </c>
      <c r="E13" s="35">
        <v>3</v>
      </c>
      <c r="F13" s="12" t="s">
        <v>148</v>
      </c>
      <c r="G13" s="12" t="s">
        <v>149</v>
      </c>
      <c r="H13" s="12" t="s">
        <v>150</v>
      </c>
      <c r="I13" s="12" t="s">
        <v>151</v>
      </c>
      <c r="J13" s="12" t="s">
        <v>107</v>
      </c>
      <c r="K13" s="11" t="s">
        <v>108</v>
      </c>
      <c r="L13" s="11" t="s">
        <v>99</v>
      </c>
    </row>
    <row r="14" spans="1:12" ht="19.5" customHeight="1" x14ac:dyDescent="0.2">
      <c r="A14" s="110" t="s">
        <v>152</v>
      </c>
      <c r="B14" s="111"/>
      <c r="C14" s="111"/>
      <c r="D14" s="111"/>
      <c r="E14" s="111"/>
      <c r="F14" s="111"/>
      <c r="G14" s="111"/>
      <c r="H14" s="111"/>
      <c r="I14" s="111"/>
      <c r="J14" s="111"/>
      <c r="K14" s="111"/>
      <c r="L14" s="111"/>
    </row>
    <row r="15" spans="1:12" ht="55.5" customHeight="1" x14ac:dyDescent="0.2">
      <c r="A15" s="9">
        <v>9</v>
      </c>
      <c r="B15" s="10" t="s">
        <v>153</v>
      </c>
      <c r="C15" s="10" t="s">
        <v>154</v>
      </c>
      <c r="D15" s="10" t="s">
        <v>155</v>
      </c>
      <c r="E15" s="34">
        <v>2</v>
      </c>
      <c r="F15" s="10" t="s">
        <v>156</v>
      </c>
      <c r="G15" s="10" t="s">
        <v>157</v>
      </c>
      <c r="H15" s="10" t="s">
        <v>158</v>
      </c>
      <c r="I15" s="10" t="s">
        <v>159</v>
      </c>
      <c r="J15" s="10" t="s">
        <v>107</v>
      </c>
      <c r="K15" s="9" t="s">
        <v>116</v>
      </c>
      <c r="L15" s="9" t="s">
        <v>99</v>
      </c>
    </row>
    <row r="16" spans="1:12" ht="55.5" customHeight="1" x14ac:dyDescent="0.2">
      <c r="A16" s="11">
        <v>10</v>
      </c>
      <c r="B16" s="12" t="s">
        <v>160</v>
      </c>
      <c r="C16" s="12" t="s">
        <v>161</v>
      </c>
      <c r="D16" s="26" t="s">
        <v>162</v>
      </c>
      <c r="E16" s="34">
        <v>2</v>
      </c>
      <c r="F16" s="12" t="s">
        <v>163</v>
      </c>
      <c r="G16" s="12" t="s">
        <v>164</v>
      </c>
      <c r="H16" s="12" t="s">
        <v>165</v>
      </c>
      <c r="I16" s="12" t="s">
        <v>166</v>
      </c>
      <c r="J16" s="12" t="s">
        <v>107</v>
      </c>
      <c r="K16" s="11" t="s">
        <v>116</v>
      </c>
      <c r="L16" s="11" t="s">
        <v>99</v>
      </c>
    </row>
    <row r="17" spans="1:12" ht="55.5" customHeight="1" x14ac:dyDescent="0.2">
      <c r="A17" s="9">
        <v>11</v>
      </c>
      <c r="B17" s="10" t="s">
        <v>167</v>
      </c>
      <c r="C17" s="10" t="s">
        <v>168</v>
      </c>
      <c r="D17" s="10" t="s">
        <v>169</v>
      </c>
      <c r="E17" s="36" t="s">
        <v>170</v>
      </c>
      <c r="F17" s="10" t="s">
        <v>171</v>
      </c>
      <c r="G17" s="10" t="s">
        <v>172</v>
      </c>
      <c r="H17" s="10" t="s">
        <v>173</v>
      </c>
      <c r="I17" s="10" t="s">
        <v>174</v>
      </c>
      <c r="J17" s="20" t="s">
        <v>107</v>
      </c>
      <c r="K17" s="9" t="s">
        <v>170</v>
      </c>
      <c r="L17" s="9" t="s">
        <v>99</v>
      </c>
    </row>
    <row r="18" spans="1:12" ht="19.5" customHeight="1" x14ac:dyDescent="0.2">
      <c r="A18" s="110" t="s">
        <v>175</v>
      </c>
      <c r="B18" s="111"/>
      <c r="C18" s="111"/>
      <c r="D18" s="111"/>
      <c r="E18" s="111"/>
      <c r="F18" s="111"/>
      <c r="G18" s="111"/>
      <c r="H18" s="111"/>
      <c r="I18" s="111"/>
      <c r="J18" s="111"/>
      <c r="K18" s="111"/>
      <c r="L18" s="111"/>
    </row>
    <row r="19" spans="1:12" ht="55.5" customHeight="1" x14ac:dyDescent="0.2">
      <c r="A19" s="11">
        <v>12</v>
      </c>
      <c r="B19" s="12" t="s">
        <v>176</v>
      </c>
      <c r="C19" s="12" t="s">
        <v>177</v>
      </c>
      <c r="D19" s="12" t="s">
        <v>178</v>
      </c>
      <c r="E19" s="34">
        <v>2</v>
      </c>
      <c r="F19" s="12" t="s">
        <v>179</v>
      </c>
      <c r="G19" s="12" t="s">
        <v>180</v>
      </c>
      <c r="H19" s="12" t="s">
        <v>181</v>
      </c>
      <c r="I19" s="12" t="s">
        <v>182</v>
      </c>
      <c r="J19" s="12" t="s">
        <v>107</v>
      </c>
      <c r="K19" s="11" t="s">
        <v>116</v>
      </c>
      <c r="L19" s="11" t="s">
        <v>99</v>
      </c>
    </row>
    <row r="20" spans="1:12" ht="55.5" customHeight="1" x14ac:dyDescent="0.2">
      <c r="A20" s="9">
        <v>13</v>
      </c>
      <c r="B20" s="10" t="s">
        <v>183</v>
      </c>
      <c r="C20" s="10" t="s">
        <v>184</v>
      </c>
      <c r="D20" s="10" t="s">
        <v>185</v>
      </c>
      <c r="E20" s="37">
        <v>1</v>
      </c>
      <c r="F20" s="10" t="s">
        <v>186</v>
      </c>
      <c r="G20" s="10" t="s">
        <v>187</v>
      </c>
      <c r="H20" s="10" t="s">
        <v>188</v>
      </c>
      <c r="I20" s="10" t="s">
        <v>189</v>
      </c>
      <c r="J20" s="10" t="s">
        <v>107</v>
      </c>
      <c r="K20" s="9" t="s">
        <v>108</v>
      </c>
      <c r="L20" s="9" t="s">
        <v>99</v>
      </c>
    </row>
    <row r="21" spans="1:12" ht="19.5" customHeight="1" x14ac:dyDescent="0.2">
      <c r="A21" s="110" t="s">
        <v>190</v>
      </c>
      <c r="B21" s="111"/>
      <c r="C21" s="111"/>
      <c r="D21" s="111"/>
      <c r="E21" s="111"/>
      <c r="F21" s="111"/>
      <c r="G21" s="111"/>
      <c r="H21" s="111"/>
      <c r="I21" s="111"/>
      <c r="J21" s="111"/>
      <c r="K21" s="111"/>
      <c r="L21" s="111"/>
    </row>
    <row r="22" spans="1:12" ht="55.5" customHeight="1" x14ac:dyDescent="0.2">
      <c r="A22" s="11">
        <v>14</v>
      </c>
      <c r="B22" s="12" t="s">
        <v>191</v>
      </c>
      <c r="C22" s="12" t="s">
        <v>192</v>
      </c>
      <c r="D22" s="12" t="s">
        <v>193</v>
      </c>
      <c r="E22" s="34">
        <v>2</v>
      </c>
      <c r="F22" s="12" t="s">
        <v>194</v>
      </c>
      <c r="G22" s="12" t="s">
        <v>195</v>
      </c>
      <c r="H22" s="12" t="s">
        <v>196</v>
      </c>
      <c r="I22" s="12" t="s">
        <v>197</v>
      </c>
      <c r="J22" s="12" t="s">
        <v>107</v>
      </c>
      <c r="K22" s="11" t="s">
        <v>116</v>
      </c>
      <c r="L22" s="11" t="s">
        <v>99</v>
      </c>
    </row>
    <row r="23" spans="1:12" ht="55.5" customHeight="1" x14ac:dyDescent="0.2">
      <c r="A23" s="9">
        <v>15</v>
      </c>
      <c r="B23" s="10" t="s">
        <v>198</v>
      </c>
      <c r="C23" s="10" t="s">
        <v>199</v>
      </c>
      <c r="D23" s="10" t="s">
        <v>200</v>
      </c>
      <c r="E23" s="34">
        <v>2</v>
      </c>
      <c r="F23" s="10" t="s">
        <v>201</v>
      </c>
      <c r="G23" s="10" t="s">
        <v>202</v>
      </c>
      <c r="H23" s="10" t="s">
        <v>203</v>
      </c>
      <c r="I23" s="10" t="s">
        <v>204</v>
      </c>
      <c r="J23" s="10" t="s">
        <v>107</v>
      </c>
      <c r="K23" s="9" t="s">
        <v>116</v>
      </c>
      <c r="L23" s="9" t="s">
        <v>99</v>
      </c>
    </row>
    <row r="24" spans="1:12" ht="19.5" customHeight="1" x14ac:dyDescent="0.2">
      <c r="A24" s="110" t="s">
        <v>205</v>
      </c>
      <c r="B24" s="111"/>
      <c r="C24" s="111"/>
      <c r="D24" s="111"/>
      <c r="E24" s="111"/>
      <c r="F24" s="111"/>
      <c r="G24" s="111"/>
      <c r="H24" s="111"/>
      <c r="I24" s="111"/>
      <c r="J24" s="111"/>
      <c r="K24" s="111"/>
      <c r="L24" s="111"/>
    </row>
    <row r="25" spans="1:12" ht="55.5" customHeight="1" x14ac:dyDescent="0.2">
      <c r="A25" s="11">
        <v>16</v>
      </c>
      <c r="B25" s="12" t="s">
        <v>206</v>
      </c>
      <c r="C25" s="12" t="s">
        <v>207</v>
      </c>
      <c r="D25" s="12" t="s">
        <v>208</v>
      </c>
      <c r="E25" s="36" t="s">
        <v>170</v>
      </c>
      <c r="F25" s="12" t="s">
        <v>209</v>
      </c>
      <c r="G25" s="12" t="s">
        <v>210</v>
      </c>
      <c r="H25" s="12" t="s">
        <v>211</v>
      </c>
      <c r="I25" s="12" t="s">
        <v>174</v>
      </c>
      <c r="J25" s="12" t="s">
        <v>107</v>
      </c>
      <c r="K25" s="11" t="s">
        <v>170</v>
      </c>
      <c r="L25" s="11" t="s">
        <v>99</v>
      </c>
    </row>
    <row r="26" spans="1:12" ht="55.5" customHeight="1" x14ac:dyDescent="0.2">
      <c r="A26" s="9">
        <v>17</v>
      </c>
      <c r="B26" s="10" t="s">
        <v>212</v>
      </c>
      <c r="C26" s="10" t="s">
        <v>213</v>
      </c>
      <c r="D26" s="10" t="s">
        <v>214</v>
      </c>
      <c r="E26" s="35">
        <v>3</v>
      </c>
      <c r="F26" s="10" t="s">
        <v>215</v>
      </c>
      <c r="G26" s="10" t="s">
        <v>216</v>
      </c>
      <c r="H26" s="10" t="s">
        <v>217</v>
      </c>
      <c r="I26" s="10" t="s">
        <v>218</v>
      </c>
      <c r="J26" s="10" t="s">
        <v>107</v>
      </c>
      <c r="K26" s="9" t="s">
        <v>108</v>
      </c>
      <c r="L26" s="9" t="s">
        <v>99</v>
      </c>
    </row>
  </sheetData>
  <mergeCells count="8">
    <mergeCell ref="A24:L24"/>
    <mergeCell ref="A2:L2"/>
    <mergeCell ref="A1:L1"/>
    <mergeCell ref="A14:L14"/>
    <mergeCell ref="A18:L18"/>
    <mergeCell ref="A9:L9"/>
    <mergeCell ref="A21:L21"/>
    <mergeCell ref="A4:L4"/>
  </mergeCells>
  <conditionalFormatting sqref="E4:E27">
    <cfRule type="cellIs" dxfId="53" priority="5" operator="equal">
      <formula>4</formula>
    </cfRule>
    <cfRule type="cellIs" dxfId="52" priority="2" operator="equal">
      <formula>1</formula>
    </cfRule>
    <cfRule type="cellIs" dxfId="51" priority="3" operator="equal">
      <formula>2</formula>
    </cfRule>
    <cfRule type="cellIs" dxfId="50" priority="4" operator="equal">
      <formula>3</formula>
    </cfRule>
    <cfRule type="cellIs" dxfId="49" priority="6" operator="equal">
      <formula>5</formula>
    </cfRule>
  </conditionalFormatting>
  <conditionalFormatting sqref="L1:L1048576">
    <cfRule type="containsText" dxfId="48" priority="1" operator="containsText" text="Open">
      <formula>NOT(ISERROR(SEARCH("Open",L1)))</formula>
    </cfRule>
  </conditionalFormatting>
  <conditionalFormatting sqref="L4:L27">
    <cfRule type="cellIs" dxfId="47" priority="8" operator="equal">
      <formula>"Closed"</formula>
    </cfRule>
    <cfRule type="cellIs" dxfId="46" priority="9" operator="equal">
      <formula>"In Progress"</formula>
    </cfRule>
  </conditionalFormatting>
  <dataValidations count="3">
    <dataValidation type="whole" allowBlank="1" sqref="E4:E27" xr:uid="{00000000-0002-0000-0200-000000000000}">
      <formula1>1</formula1>
      <formula2>5</formula2>
    </dataValidation>
    <dataValidation type="list" allowBlank="1" sqref="K4:K27" xr:uid="{00000000-0002-0000-0200-000001000000}">
      <formula1>"Critical,High,Medium,Low"</formula1>
      <formula2>0</formula2>
    </dataValidation>
    <dataValidation type="list" allowBlank="1" sqref="L4:L27" xr:uid="{00000000-0002-0000-0200-000002000000}">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showGridLines="0" topLeftCell="B1" zoomScaleNormal="100" workbookViewId="0">
      <pane ySplit="3" topLeftCell="A10" activePane="bottomLeft" state="frozen"/>
      <selection pane="bottomLeft" activeCell="K20" sqref="K20"/>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style="19" customWidth="1"/>
    <col min="10" max="10" width="16" customWidth="1"/>
    <col min="11" max="11" width="12" customWidth="1"/>
    <col min="12" max="12" width="14" customWidth="1"/>
  </cols>
  <sheetData>
    <row r="1" spans="1:12" ht="30" customHeight="1" x14ac:dyDescent="0.2">
      <c r="A1" s="118" t="s">
        <v>219</v>
      </c>
      <c r="B1" s="111"/>
      <c r="C1" s="111"/>
      <c r="D1" s="111"/>
      <c r="E1" s="111"/>
      <c r="F1" s="111"/>
      <c r="G1" s="111"/>
      <c r="H1" s="111"/>
      <c r="I1" s="117"/>
      <c r="J1" s="111"/>
      <c r="K1" s="111"/>
      <c r="L1" s="111"/>
    </row>
    <row r="2" spans="1:12" ht="18" customHeight="1" x14ac:dyDescent="0.2">
      <c r="A2" s="112" t="s">
        <v>77</v>
      </c>
      <c r="B2" s="111"/>
      <c r="C2" s="111"/>
      <c r="D2" s="111"/>
      <c r="E2" s="111"/>
      <c r="F2" s="111"/>
      <c r="G2" s="111"/>
      <c r="H2" s="111"/>
      <c r="I2" s="117"/>
      <c r="J2" s="111"/>
      <c r="K2" s="111"/>
      <c r="L2" s="111"/>
    </row>
    <row r="3" spans="1:12" ht="37.5" customHeight="1" x14ac:dyDescent="0.2">
      <c r="A3" s="13" t="s">
        <v>78</v>
      </c>
      <c r="B3" s="13" t="s">
        <v>79</v>
      </c>
      <c r="C3" s="13" t="s">
        <v>80</v>
      </c>
      <c r="D3" s="13" t="s">
        <v>81</v>
      </c>
      <c r="E3" s="13" t="s">
        <v>82</v>
      </c>
      <c r="F3" s="13" t="s">
        <v>83</v>
      </c>
      <c r="G3" s="13" t="s">
        <v>84</v>
      </c>
      <c r="H3" s="13" t="s">
        <v>85</v>
      </c>
      <c r="I3" s="21" t="s">
        <v>86</v>
      </c>
      <c r="J3" s="13" t="s">
        <v>87</v>
      </c>
      <c r="K3" s="13" t="s">
        <v>88</v>
      </c>
      <c r="L3" s="13" t="s">
        <v>6</v>
      </c>
    </row>
    <row r="4" spans="1:12" ht="19.5" customHeight="1" x14ac:dyDescent="0.2">
      <c r="A4" s="110" t="s">
        <v>220</v>
      </c>
      <c r="B4" s="111"/>
      <c r="C4" s="111"/>
      <c r="D4" s="111"/>
      <c r="E4" s="111"/>
      <c r="F4" s="111"/>
      <c r="G4" s="111"/>
      <c r="H4" s="111"/>
      <c r="I4" s="117"/>
      <c r="J4" s="111"/>
      <c r="K4" s="111"/>
      <c r="L4" s="111"/>
    </row>
    <row r="5" spans="1:12" ht="55.5" customHeight="1" x14ac:dyDescent="0.2">
      <c r="A5" s="9">
        <v>1</v>
      </c>
      <c r="B5" s="10" t="s">
        <v>221</v>
      </c>
      <c r="C5" s="10" t="s">
        <v>222</v>
      </c>
      <c r="D5" s="10" t="s">
        <v>410</v>
      </c>
      <c r="E5" s="34">
        <v>2</v>
      </c>
      <c r="F5" s="103" t="s">
        <v>411</v>
      </c>
      <c r="G5" s="104" t="s">
        <v>412</v>
      </c>
      <c r="H5" s="103" t="s">
        <v>413</v>
      </c>
      <c r="I5" s="104" t="s">
        <v>414</v>
      </c>
      <c r="J5" s="10" t="s">
        <v>107</v>
      </c>
      <c r="K5" s="9" t="s">
        <v>116</v>
      </c>
      <c r="L5" s="9" t="s">
        <v>99</v>
      </c>
    </row>
    <row r="6" spans="1:12" ht="55.5" customHeight="1" x14ac:dyDescent="0.2">
      <c r="A6" s="11">
        <v>2</v>
      </c>
      <c r="B6" s="12" t="s">
        <v>223</v>
      </c>
      <c r="C6" s="12" t="s">
        <v>224</v>
      </c>
      <c r="D6" s="12" t="s">
        <v>415</v>
      </c>
      <c r="E6" s="35">
        <v>3</v>
      </c>
      <c r="F6" s="105" t="s">
        <v>416</v>
      </c>
      <c r="G6" s="105" t="s">
        <v>417</v>
      </c>
      <c r="H6" s="105" t="s">
        <v>203</v>
      </c>
      <c r="I6" s="105" t="s">
        <v>418</v>
      </c>
      <c r="J6" s="12" t="s">
        <v>107</v>
      </c>
      <c r="K6" s="11" t="s">
        <v>108</v>
      </c>
      <c r="L6" s="11" t="s">
        <v>99</v>
      </c>
    </row>
    <row r="7" spans="1:12" ht="55.5" customHeight="1" x14ac:dyDescent="0.2">
      <c r="A7" s="9">
        <v>3</v>
      </c>
      <c r="B7" s="10" t="s">
        <v>225</v>
      </c>
      <c r="C7" s="10" t="s">
        <v>226</v>
      </c>
      <c r="D7" s="10" t="s">
        <v>419</v>
      </c>
      <c r="E7" s="35">
        <v>3</v>
      </c>
      <c r="F7" s="103" t="s">
        <v>420</v>
      </c>
      <c r="G7" s="103" t="s">
        <v>421</v>
      </c>
      <c r="H7" s="103" t="s">
        <v>422</v>
      </c>
      <c r="I7" s="103" t="s">
        <v>423</v>
      </c>
      <c r="J7" s="10" t="s">
        <v>107</v>
      </c>
      <c r="K7" s="9" t="s">
        <v>108</v>
      </c>
      <c r="L7" s="9" t="s">
        <v>99</v>
      </c>
    </row>
    <row r="8" spans="1:12" ht="55.5" customHeight="1" x14ac:dyDescent="0.2">
      <c r="A8" s="11">
        <v>4</v>
      </c>
      <c r="B8" s="12" t="s">
        <v>227</v>
      </c>
      <c r="C8" s="12" t="s">
        <v>228</v>
      </c>
      <c r="D8" s="12" t="s">
        <v>424</v>
      </c>
      <c r="E8" s="34">
        <v>3</v>
      </c>
      <c r="F8" s="105" t="s">
        <v>425</v>
      </c>
      <c r="G8" s="105" t="s">
        <v>426</v>
      </c>
      <c r="H8" s="105" t="s">
        <v>427</v>
      </c>
      <c r="I8" s="105" t="s">
        <v>428</v>
      </c>
      <c r="J8" s="23" t="s">
        <v>107</v>
      </c>
      <c r="K8" s="11" t="s">
        <v>108</v>
      </c>
      <c r="L8" s="11" t="s">
        <v>99</v>
      </c>
    </row>
    <row r="9" spans="1:12" ht="55.5" customHeight="1" x14ac:dyDescent="0.2">
      <c r="A9" s="9">
        <v>5</v>
      </c>
      <c r="B9" s="10" t="s">
        <v>229</v>
      </c>
      <c r="C9" s="10" t="s">
        <v>230</v>
      </c>
      <c r="D9" s="10" t="s">
        <v>552</v>
      </c>
      <c r="E9" s="34">
        <v>2</v>
      </c>
      <c r="F9" s="103" t="s">
        <v>553</v>
      </c>
      <c r="G9" s="103" t="s">
        <v>554</v>
      </c>
      <c r="H9" s="103" t="s">
        <v>549</v>
      </c>
      <c r="I9" s="103" t="s">
        <v>555</v>
      </c>
      <c r="J9" s="10" t="s">
        <v>107</v>
      </c>
      <c r="K9" s="9" t="s">
        <v>116</v>
      </c>
      <c r="L9" s="9" t="s">
        <v>99</v>
      </c>
    </row>
    <row r="10" spans="1:12" ht="55.5" customHeight="1" x14ac:dyDescent="0.2">
      <c r="A10" s="11">
        <v>6</v>
      </c>
      <c r="B10" s="12" t="s">
        <v>231</v>
      </c>
      <c r="C10" s="12" t="s">
        <v>232</v>
      </c>
      <c r="D10" s="12" t="s">
        <v>429</v>
      </c>
      <c r="E10" s="34">
        <v>2</v>
      </c>
      <c r="F10" s="105" t="s">
        <v>566</v>
      </c>
      <c r="G10" s="106" t="s">
        <v>567</v>
      </c>
      <c r="H10" s="105" t="s">
        <v>462</v>
      </c>
      <c r="I10" s="105" t="s">
        <v>568</v>
      </c>
      <c r="J10" s="23" t="s">
        <v>107</v>
      </c>
      <c r="K10" s="11" t="s">
        <v>98</v>
      </c>
      <c r="L10" s="11" t="s">
        <v>99</v>
      </c>
    </row>
    <row r="11" spans="1:12" ht="19.5" customHeight="1" x14ac:dyDescent="0.2">
      <c r="A11" s="110" t="s">
        <v>233</v>
      </c>
      <c r="B11" s="111"/>
      <c r="C11" s="111"/>
      <c r="D11" s="111"/>
      <c r="E11" s="111"/>
      <c r="F11" s="111"/>
      <c r="G11" s="111"/>
      <c r="H11" s="111"/>
      <c r="I11" s="117"/>
      <c r="J11" s="111"/>
      <c r="K11" s="111"/>
      <c r="L11" s="111"/>
    </row>
    <row r="12" spans="1:12" ht="55.5" customHeight="1" x14ac:dyDescent="0.2">
      <c r="A12" s="9">
        <v>7</v>
      </c>
      <c r="B12" s="10" t="s">
        <v>234</v>
      </c>
      <c r="C12" s="10" t="s">
        <v>235</v>
      </c>
      <c r="D12" s="10" t="s">
        <v>430</v>
      </c>
      <c r="E12" s="35">
        <v>2</v>
      </c>
      <c r="F12" s="104" t="s">
        <v>431</v>
      </c>
      <c r="G12" s="104" t="s">
        <v>432</v>
      </c>
      <c r="H12" s="103" t="s">
        <v>433</v>
      </c>
      <c r="I12" s="103" t="s">
        <v>434</v>
      </c>
      <c r="J12" s="10" t="s">
        <v>107</v>
      </c>
      <c r="K12" s="9" t="s">
        <v>116</v>
      </c>
      <c r="L12" s="9" t="s">
        <v>99</v>
      </c>
    </row>
    <row r="13" spans="1:12" ht="55.5" customHeight="1" x14ac:dyDescent="0.2">
      <c r="A13" s="11">
        <v>8</v>
      </c>
      <c r="B13" s="12" t="s">
        <v>236</v>
      </c>
      <c r="C13" s="12" t="s">
        <v>237</v>
      </c>
      <c r="D13" s="12" t="s">
        <v>435</v>
      </c>
      <c r="E13" s="43" t="s">
        <v>170</v>
      </c>
      <c r="F13" s="106" t="s">
        <v>436</v>
      </c>
      <c r="G13" s="105" t="s">
        <v>437</v>
      </c>
      <c r="H13" s="105" t="s">
        <v>438</v>
      </c>
      <c r="I13" s="107" t="s">
        <v>439</v>
      </c>
      <c r="J13" s="23" t="s">
        <v>107</v>
      </c>
      <c r="K13" s="11" t="s">
        <v>170</v>
      </c>
      <c r="L13" s="11" t="s">
        <v>99</v>
      </c>
    </row>
    <row r="14" spans="1:12" ht="55.5" customHeight="1" x14ac:dyDescent="0.2">
      <c r="A14" s="9">
        <v>9</v>
      </c>
      <c r="B14" s="10" t="s">
        <v>238</v>
      </c>
      <c r="C14" s="10" t="s">
        <v>239</v>
      </c>
      <c r="D14" s="10" t="s">
        <v>440</v>
      </c>
      <c r="E14" s="35">
        <v>3</v>
      </c>
      <c r="F14" s="103" t="s">
        <v>441</v>
      </c>
      <c r="G14" s="103" t="s">
        <v>442</v>
      </c>
      <c r="H14" s="103" t="s">
        <v>130</v>
      </c>
      <c r="I14" s="108" t="s">
        <v>443</v>
      </c>
      <c r="J14" s="10" t="s">
        <v>107</v>
      </c>
      <c r="K14" s="9" t="s">
        <v>108</v>
      </c>
      <c r="L14" s="9" t="s">
        <v>99</v>
      </c>
    </row>
    <row r="15" spans="1:12" ht="55.5" customHeight="1" x14ac:dyDescent="0.2">
      <c r="A15" s="11">
        <v>10</v>
      </c>
      <c r="B15" s="12" t="s">
        <v>240</v>
      </c>
      <c r="C15" s="12" t="s">
        <v>241</v>
      </c>
      <c r="D15" s="12" t="s">
        <v>444</v>
      </c>
      <c r="E15" s="34">
        <v>3</v>
      </c>
      <c r="F15" s="105" t="s">
        <v>467</v>
      </c>
      <c r="G15" s="105" t="s">
        <v>468</v>
      </c>
      <c r="H15" s="105" t="s">
        <v>469</v>
      </c>
      <c r="I15" s="107" t="s">
        <v>445</v>
      </c>
      <c r="J15" s="12" t="s">
        <v>107</v>
      </c>
      <c r="K15" s="11" t="s">
        <v>116</v>
      </c>
      <c r="L15" s="11" t="s">
        <v>99</v>
      </c>
    </row>
    <row r="16" spans="1:12" ht="55.5" customHeight="1" x14ac:dyDescent="0.2">
      <c r="A16" s="9">
        <v>11</v>
      </c>
      <c r="B16" s="10" t="s">
        <v>242</v>
      </c>
      <c r="C16" s="10" t="s">
        <v>243</v>
      </c>
      <c r="D16" s="10" t="s">
        <v>446</v>
      </c>
      <c r="E16" s="37">
        <v>3</v>
      </c>
      <c r="F16" s="109" t="s">
        <v>470</v>
      </c>
      <c r="G16" s="103" t="s">
        <v>471</v>
      </c>
      <c r="H16" s="103" t="s">
        <v>472</v>
      </c>
      <c r="I16" s="108" t="s">
        <v>473</v>
      </c>
      <c r="J16" s="10" t="s">
        <v>107</v>
      </c>
      <c r="K16" s="9" t="s">
        <v>108</v>
      </c>
      <c r="L16" s="9" t="s">
        <v>99</v>
      </c>
    </row>
    <row r="17" spans="1:12" ht="55.5" customHeight="1" x14ac:dyDescent="0.2">
      <c r="A17" s="11">
        <v>12</v>
      </c>
      <c r="B17" s="12" t="s">
        <v>244</v>
      </c>
      <c r="C17" s="12" t="s">
        <v>245</v>
      </c>
      <c r="D17" s="12" t="s">
        <v>447</v>
      </c>
      <c r="E17" s="35">
        <v>3</v>
      </c>
      <c r="F17" s="105" t="s">
        <v>448</v>
      </c>
      <c r="G17" s="105" t="s">
        <v>449</v>
      </c>
      <c r="H17" s="105" t="s">
        <v>450</v>
      </c>
      <c r="I17" s="107" t="s">
        <v>451</v>
      </c>
      <c r="J17" s="12" t="s">
        <v>107</v>
      </c>
      <c r="K17" s="11" t="s">
        <v>108</v>
      </c>
      <c r="L17" s="11" t="s">
        <v>99</v>
      </c>
    </row>
    <row r="18" spans="1:12" ht="19.5" customHeight="1" x14ac:dyDescent="0.2">
      <c r="A18" s="114" t="s">
        <v>246</v>
      </c>
      <c r="B18" s="115"/>
      <c r="C18" s="115"/>
      <c r="D18" s="115"/>
      <c r="E18" s="115"/>
      <c r="F18" s="115"/>
      <c r="G18" s="115"/>
      <c r="H18" s="115"/>
      <c r="I18" s="116"/>
      <c r="J18" s="115"/>
      <c r="K18" s="115"/>
      <c r="L18" s="115"/>
    </row>
    <row r="19" spans="1:12" ht="55.5" customHeight="1" x14ac:dyDescent="0.2">
      <c r="A19" s="9">
        <v>13</v>
      </c>
      <c r="B19" s="10" t="s">
        <v>247</v>
      </c>
      <c r="C19" s="10" t="s">
        <v>248</v>
      </c>
      <c r="D19" s="10" t="s">
        <v>452</v>
      </c>
      <c r="E19" s="43" t="s">
        <v>170</v>
      </c>
      <c r="F19" s="103" t="s">
        <v>453</v>
      </c>
      <c r="G19" s="103" t="s">
        <v>454</v>
      </c>
      <c r="H19" s="103" t="s">
        <v>455</v>
      </c>
      <c r="I19" s="108" t="s">
        <v>456</v>
      </c>
      <c r="J19" s="10" t="s">
        <v>107</v>
      </c>
      <c r="K19" s="9" t="s">
        <v>170</v>
      </c>
      <c r="L19" s="9" t="s">
        <v>99</v>
      </c>
    </row>
    <row r="20" spans="1:12" ht="55.5" customHeight="1" x14ac:dyDescent="0.2">
      <c r="A20" s="11">
        <v>14</v>
      </c>
      <c r="B20" s="12" t="s">
        <v>249</v>
      </c>
      <c r="C20" s="12" t="s">
        <v>250</v>
      </c>
      <c r="D20" s="12" t="s">
        <v>457</v>
      </c>
      <c r="E20" s="34">
        <v>3</v>
      </c>
      <c r="F20" s="105" t="s">
        <v>474</v>
      </c>
      <c r="G20" s="105" t="s">
        <v>475</v>
      </c>
      <c r="H20" s="105" t="s">
        <v>476</v>
      </c>
      <c r="I20" s="107" t="s">
        <v>477</v>
      </c>
      <c r="J20" s="12" t="s">
        <v>107</v>
      </c>
      <c r="K20" s="11" t="s">
        <v>108</v>
      </c>
      <c r="L20" s="11" t="s">
        <v>99</v>
      </c>
    </row>
  </sheetData>
  <mergeCells count="5">
    <mergeCell ref="A18:L18"/>
    <mergeCell ref="A11:L11"/>
    <mergeCell ref="A2:L2"/>
    <mergeCell ref="A1:L1"/>
    <mergeCell ref="A4:L4"/>
  </mergeCells>
  <conditionalFormatting sqref="E4:E21">
    <cfRule type="cellIs" dxfId="45" priority="5" operator="equal">
      <formula>4</formula>
    </cfRule>
    <cfRule type="cellIs" dxfId="44" priority="2" operator="equal">
      <formula>1</formula>
    </cfRule>
    <cfRule type="cellIs" dxfId="43" priority="3" operator="equal">
      <formula>2</formula>
    </cfRule>
    <cfRule type="cellIs" dxfId="42" priority="4" operator="equal">
      <formula>3</formula>
    </cfRule>
    <cfRule type="cellIs" dxfId="41" priority="6" operator="equal">
      <formula>5</formula>
    </cfRule>
  </conditionalFormatting>
  <conditionalFormatting sqref="L1:L1048576">
    <cfRule type="containsText" dxfId="40" priority="1" operator="containsText" text="Open">
      <formula>NOT(ISERROR(SEARCH("Open",L1)))</formula>
    </cfRule>
  </conditionalFormatting>
  <conditionalFormatting sqref="L4:L21">
    <cfRule type="cellIs" dxfId="39" priority="8" operator="equal">
      <formula>"Closed"</formula>
    </cfRule>
    <cfRule type="cellIs" dxfId="38" priority="9" operator="equal">
      <formula>"In Progress"</formula>
    </cfRule>
  </conditionalFormatting>
  <dataValidations count="3">
    <dataValidation type="whole" allowBlank="1" sqref="E4:E21" xr:uid="{00000000-0002-0000-0300-000000000000}">
      <formula1>1</formula1>
      <formula2>5</formula2>
    </dataValidation>
    <dataValidation type="list" allowBlank="1" sqref="K4:K21" xr:uid="{00000000-0002-0000-0300-000001000000}">
      <formula1>"Critical,High,Medium,Low"</formula1>
      <formula2>0</formula2>
    </dataValidation>
    <dataValidation type="list" allowBlank="1" sqref="L4:L21" xr:uid="{00000000-0002-0000-0300-000002000000}">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topLeftCell="D1" zoomScale="110" zoomScaleNormal="110" workbookViewId="0">
      <pane ySplit="3" topLeftCell="A18" activePane="bottomLeft" state="frozen"/>
      <selection pane="bottomLeft" activeCell="F15" sqref="F15"/>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customWidth="1"/>
    <col min="10" max="10" width="16" customWidth="1"/>
    <col min="11" max="11" width="12" customWidth="1"/>
    <col min="12" max="12" width="14" customWidth="1"/>
  </cols>
  <sheetData>
    <row r="1" spans="1:12" ht="30" customHeight="1" x14ac:dyDescent="0.2">
      <c r="A1" s="119" t="s">
        <v>251</v>
      </c>
      <c r="B1" s="111"/>
      <c r="C1" s="111"/>
      <c r="D1" s="111"/>
      <c r="E1" s="111"/>
      <c r="F1" s="111"/>
      <c r="G1" s="111"/>
      <c r="H1" s="111"/>
      <c r="I1" s="111"/>
      <c r="J1" s="111"/>
      <c r="K1" s="111"/>
      <c r="L1" s="111"/>
    </row>
    <row r="2" spans="1:12" ht="18" customHeight="1" x14ac:dyDescent="0.2">
      <c r="A2" s="112" t="s">
        <v>77</v>
      </c>
      <c r="B2" s="111"/>
      <c r="C2" s="111"/>
      <c r="D2" s="111"/>
      <c r="E2" s="111"/>
      <c r="F2" s="111"/>
      <c r="G2" s="111"/>
      <c r="H2" s="111"/>
      <c r="I2" s="111"/>
      <c r="J2" s="111"/>
      <c r="K2" s="111"/>
      <c r="L2" s="111"/>
    </row>
    <row r="3" spans="1:12" ht="37.5" customHeight="1" x14ac:dyDescent="0.2">
      <c r="A3" s="14" t="s">
        <v>78</v>
      </c>
      <c r="B3" s="14" t="s">
        <v>79</v>
      </c>
      <c r="C3" s="14" t="s">
        <v>80</v>
      </c>
      <c r="D3" s="14" t="s">
        <v>81</v>
      </c>
      <c r="E3" s="14" t="s">
        <v>82</v>
      </c>
      <c r="F3" s="14" t="s">
        <v>83</v>
      </c>
      <c r="G3" s="14" t="s">
        <v>84</v>
      </c>
      <c r="H3" s="14" t="s">
        <v>85</v>
      </c>
      <c r="I3" s="14" t="s">
        <v>86</v>
      </c>
      <c r="J3" s="14" t="s">
        <v>87</v>
      </c>
      <c r="K3" s="14" t="s">
        <v>88</v>
      </c>
      <c r="L3" s="14" t="s">
        <v>6</v>
      </c>
    </row>
    <row r="4" spans="1:12" ht="19.5" customHeight="1" x14ac:dyDescent="0.2">
      <c r="A4" s="110" t="s">
        <v>252</v>
      </c>
      <c r="B4" s="111"/>
      <c r="C4" s="111"/>
      <c r="D4" s="111"/>
      <c r="E4" s="111"/>
      <c r="F4" s="111"/>
      <c r="G4" s="111"/>
      <c r="H4" s="111"/>
      <c r="I4" s="111"/>
      <c r="J4" s="111"/>
      <c r="K4" s="111"/>
      <c r="L4" s="111"/>
    </row>
    <row r="5" spans="1:12" ht="55.5" customHeight="1" x14ac:dyDescent="0.2">
      <c r="A5" s="9">
        <v>1</v>
      </c>
      <c r="B5" s="10" t="s">
        <v>253</v>
      </c>
      <c r="C5" s="10" t="s">
        <v>254</v>
      </c>
      <c r="D5" s="10" t="s">
        <v>478</v>
      </c>
      <c r="E5" s="35">
        <v>2</v>
      </c>
      <c r="F5" s="10" t="s">
        <v>479</v>
      </c>
      <c r="G5" s="10" t="s">
        <v>480</v>
      </c>
      <c r="H5" s="10" t="s">
        <v>481</v>
      </c>
      <c r="I5" s="10" t="s">
        <v>482</v>
      </c>
      <c r="J5" s="10" t="s">
        <v>107</v>
      </c>
      <c r="K5" s="9" t="s">
        <v>108</v>
      </c>
      <c r="L5" s="9" t="s">
        <v>99</v>
      </c>
    </row>
    <row r="6" spans="1:12" ht="55.5" customHeight="1" x14ac:dyDescent="0.2">
      <c r="A6" s="11">
        <v>2</v>
      </c>
      <c r="B6" s="12" t="s">
        <v>255</v>
      </c>
      <c r="C6" s="12" t="s">
        <v>256</v>
      </c>
      <c r="D6" s="12" t="s">
        <v>483</v>
      </c>
      <c r="E6" s="35">
        <v>4</v>
      </c>
      <c r="F6" s="12" t="s">
        <v>484</v>
      </c>
      <c r="G6" s="12" t="s">
        <v>485</v>
      </c>
      <c r="H6" s="12" t="s">
        <v>486</v>
      </c>
      <c r="I6" s="12" t="s">
        <v>487</v>
      </c>
      <c r="J6" s="12" t="s">
        <v>107</v>
      </c>
      <c r="K6" s="11" t="s">
        <v>108</v>
      </c>
      <c r="L6" s="11" t="s">
        <v>99</v>
      </c>
    </row>
    <row r="7" spans="1:12" ht="55.5" customHeight="1" x14ac:dyDescent="0.2">
      <c r="A7" s="9">
        <v>3</v>
      </c>
      <c r="B7" s="10" t="s">
        <v>257</v>
      </c>
      <c r="C7" s="10" t="s">
        <v>258</v>
      </c>
      <c r="D7" s="10" t="s">
        <v>488</v>
      </c>
      <c r="E7" s="37">
        <v>2</v>
      </c>
      <c r="F7" s="10" t="s">
        <v>569</v>
      </c>
      <c r="G7" s="10" t="s">
        <v>570</v>
      </c>
      <c r="H7" s="10" t="s">
        <v>489</v>
      </c>
      <c r="I7" s="10" t="s">
        <v>568</v>
      </c>
      <c r="J7" s="10" t="s">
        <v>107</v>
      </c>
      <c r="K7" s="9" t="s">
        <v>98</v>
      </c>
      <c r="L7" s="9" t="s">
        <v>99</v>
      </c>
    </row>
    <row r="8" spans="1:12" ht="55.5" customHeight="1" x14ac:dyDescent="0.2">
      <c r="A8" s="11">
        <v>4</v>
      </c>
      <c r="B8" s="12" t="s">
        <v>259</v>
      </c>
      <c r="C8" s="12" t="s">
        <v>260</v>
      </c>
      <c r="D8" s="12" t="s">
        <v>490</v>
      </c>
      <c r="E8" s="34">
        <v>2</v>
      </c>
      <c r="F8" s="12" t="s">
        <v>571</v>
      </c>
      <c r="G8" s="12" t="s">
        <v>572</v>
      </c>
      <c r="H8" s="12" t="s">
        <v>491</v>
      </c>
      <c r="I8" s="44" t="s">
        <v>573</v>
      </c>
      <c r="J8" s="12" t="s">
        <v>107</v>
      </c>
      <c r="K8" s="11" t="s">
        <v>98</v>
      </c>
      <c r="L8" s="11" t="s">
        <v>99</v>
      </c>
    </row>
    <row r="9" spans="1:12" ht="55.5" customHeight="1" x14ac:dyDescent="0.2">
      <c r="A9" s="9">
        <v>5</v>
      </c>
      <c r="B9" s="10" t="s">
        <v>261</v>
      </c>
      <c r="C9" s="10" t="s">
        <v>262</v>
      </c>
      <c r="D9" s="10" t="s">
        <v>492</v>
      </c>
      <c r="E9" s="34">
        <v>3</v>
      </c>
      <c r="F9" s="10" t="s">
        <v>493</v>
      </c>
      <c r="G9" s="10" t="s">
        <v>494</v>
      </c>
      <c r="H9" s="10" t="s">
        <v>495</v>
      </c>
      <c r="I9" s="10" t="s">
        <v>496</v>
      </c>
      <c r="J9" s="10" t="s">
        <v>107</v>
      </c>
      <c r="K9" s="9" t="s">
        <v>108</v>
      </c>
      <c r="L9" s="9" t="s">
        <v>99</v>
      </c>
    </row>
    <row r="10" spans="1:12" ht="55.5" customHeight="1" x14ac:dyDescent="0.2">
      <c r="A10" s="11">
        <v>6</v>
      </c>
      <c r="B10" s="12" t="s">
        <v>263</v>
      </c>
      <c r="C10" s="12" t="s">
        <v>264</v>
      </c>
      <c r="D10" s="12" t="s">
        <v>497</v>
      </c>
      <c r="E10" s="37">
        <v>2</v>
      </c>
      <c r="F10" s="22" t="s">
        <v>548</v>
      </c>
      <c r="G10" s="22" t="s">
        <v>550</v>
      </c>
      <c r="H10" s="12" t="s">
        <v>549</v>
      </c>
      <c r="I10" s="12" t="s">
        <v>551</v>
      </c>
      <c r="J10" s="12" t="s">
        <v>107</v>
      </c>
      <c r="K10" s="11" t="s">
        <v>116</v>
      </c>
      <c r="L10" s="11" t="s">
        <v>99</v>
      </c>
    </row>
    <row r="11" spans="1:12" ht="19.5" customHeight="1" x14ac:dyDescent="0.2">
      <c r="A11" s="110" t="s">
        <v>265</v>
      </c>
      <c r="B11" s="111"/>
      <c r="C11" s="111"/>
      <c r="D11" s="111"/>
      <c r="E11" s="111"/>
      <c r="F11" s="111"/>
      <c r="G11" s="111"/>
      <c r="H11" s="111"/>
      <c r="I11" s="111"/>
      <c r="J11" s="111"/>
      <c r="K11" s="111"/>
      <c r="L11" s="111"/>
    </row>
    <row r="12" spans="1:12" ht="55.5" customHeight="1" x14ac:dyDescent="0.2">
      <c r="A12" s="9">
        <v>7</v>
      </c>
      <c r="B12" s="10" t="s">
        <v>266</v>
      </c>
      <c r="C12" s="10" t="s">
        <v>267</v>
      </c>
      <c r="D12" s="10" t="s">
        <v>498</v>
      </c>
      <c r="E12" s="38">
        <v>4</v>
      </c>
      <c r="F12" s="24" t="s">
        <v>499</v>
      </c>
      <c r="G12" s="10" t="s">
        <v>500</v>
      </c>
      <c r="H12" s="10" t="s">
        <v>501</v>
      </c>
      <c r="I12" s="10" t="s">
        <v>502</v>
      </c>
      <c r="J12" s="10" t="s">
        <v>107</v>
      </c>
      <c r="K12" s="9" t="s">
        <v>108</v>
      </c>
      <c r="L12" s="9" t="s">
        <v>99</v>
      </c>
    </row>
    <row r="13" spans="1:12" ht="55.5" customHeight="1" x14ac:dyDescent="0.2">
      <c r="A13" s="11">
        <v>8</v>
      </c>
      <c r="B13" s="12" t="s">
        <v>268</v>
      </c>
      <c r="C13" s="12" t="s">
        <v>269</v>
      </c>
      <c r="D13" s="12" t="s">
        <v>758</v>
      </c>
      <c r="E13" s="34">
        <v>3</v>
      </c>
      <c r="F13" s="22" t="s">
        <v>503</v>
      </c>
      <c r="G13" s="12" t="s">
        <v>504</v>
      </c>
      <c r="H13" s="12" t="s">
        <v>505</v>
      </c>
      <c r="I13" s="12" t="s">
        <v>589</v>
      </c>
      <c r="J13" s="12" t="s">
        <v>107</v>
      </c>
      <c r="K13" s="11" t="s">
        <v>108</v>
      </c>
      <c r="L13" s="11" t="s">
        <v>759</v>
      </c>
    </row>
    <row r="14" spans="1:12" ht="19.5" customHeight="1" x14ac:dyDescent="0.2">
      <c r="A14" s="110" t="s">
        <v>270</v>
      </c>
      <c r="B14" s="111"/>
      <c r="C14" s="111"/>
      <c r="D14" s="111"/>
      <c r="E14" s="111"/>
      <c r="F14" s="111"/>
      <c r="G14" s="111"/>
      <c r="H14" s="111"/>
      <c r="I14" s="111"/>
      <c r="J14" s="111"/>
      <c r="K14" s="111"/>
      <c r="L14" s="111"/>
    </row>
    <row r="15" spans="1:12" ht="55.5" customHeight="1" x14ac:dyDescent="0.2">
      <c r="A15" s="9">
        <v>9</v>
      </c>
      <c r="B15" s="10" t="s">
        <v>271</v>
      </c>
      <c r="C15" s="10" t="s">
        <v>272</v>
      </c>
      <c r="D15" s="10" t="s">
        <v>506</v>
      </c>
      <c r="E15" s="39">
        <v>4</v>
      </c>
      <c r="F15" s="24" t="s">
        <v>507</v>
      </c>
      <c r="G15" s="10" t="s">
        <v>508</v>
      </c>
      <c r="H15" s="10" t="s">
        <v>509</v>
      </c>
      <c r="I15" s="10" t="s">
        <v>510</v>
      </c>
      <c r="J15" s="10" t="s">
        <v>107</v>
      </c>
      <c r="K15" s="9" t="s">
        <v>108</v>
      </c>
      <c r="L15" s="9" t="s">
        <v>99</v>
      </c>
    </row>
    <row r="16" spans="1:12" ht="55.5" customHeight="1" x14ac:dyDescent="0.2">
      <c r="A16" s="11">
        <v>10</v>
      </c>
      <c r="B16" s="12" t="s">
        <v>273</v>
      </c>
      <c r="C16" s="12" t="s">
        <v>274</v>
      </c>
      <c r="D16" s="12" t="s">
        <v>511</v>
      </c>
      <c r="E16" s="34">
        <v>4</v>
      </c>
      <c r="F16" s="12" t="s">
        <v>512</v>
      </c>
      <c r="G16" s="12" t="s">
        <v>513</v>
      </c>
      <c r="H16" s="12" t="s">
        <v>514</v>
      </c>
      <c r="I16" s="12" t="s">
        <v>515</v>
      </c>
      <c r="J16" s="12" t="s">
        <v>107</v>
      </c>
      <c r="K16" s="11" t="s">
        <v>108</v>
      </c>
      <c r="L16" s="11" t="s">
        <v>99</v>
      </c>
    </row>
    <row r="17" spans="1:12" ht="55.5" customHeight="1" x14ac:dyDescent="0.2">
      <c r="A17" s="9">
        <v>11</v>
      </c>
      <c r="B17" s="10" t="s">
        <v>275</v>
      </c>
      <c r="C17" s="10" t="s">
        <v>276</v>
      </c>
      <c r="D17" s="10" t="s">
        <v>516</v>
      </c>
      <c r="E17" s="34">
        <v>3</v>
      </c>
      <c r="F17" s="10" t="s">
        <v>517</v>
      </c>
      <c r="G17" s="10" t="s">
        <v>518</v>
      </c>
      <c r="H17" s="10" t="s">
        <v>519</v>
      </c>
      <c r="I17" s="10" t="s">
        <v>520</v>
      </c>
      <c r="J17" s="10" t="s">
        <v>107</v>
      </c>
      <c r="K17" s="9" t="s">
        <v>108</v>
      </c>
      <c r="L17" s="9" t="s">
        <v>99</v>
      </c>
    </row>
    <row r="18" spans="1:12" ht="19.5" customHeight="1" x14ac:dyDescent="0.2">
      <c r="A18" s="110" t="s">
        <v>277</v>
      </c>
      <c r="B18" s="111"/>
      <c r="C18" s="111"/>
      <c r="D18" s="111"/>
      <c r="E18" s="111"/>
      <c r="F18" s="111"/>
      <c r="G18" s="111"/>
      <c r="H18" s="111"/>
      <c r="I18" s="111"/>
      <c r="J18" s="111"/>
      <c r="K18" s="111"/>
      <c r="L18" s="111"/>
    </row>
    <row r="19" spans="1:12" ht="55.5" customHeight="1" x14ac:dyDescent="0.2">
      <c r="A19" s="11">
        <v>12</v>
      </c>
      <c r="B19" s="12" t="s">
        <v>278</v>
      </c>
      <c r="C19" s="12" t="s">
        <v>279</v>
      </c>
      <c r="D19" s="12" t="s">
        <v>521</v>
      </c>
      <c r="E19" s="37">
        <v>3</v>
      </c>
      <c r="F19" s="12" t="s">
        <v>522</v>
      </c>
      <c r="G19" s="12" t="s">
        <v>523</v>
      </c>
      <c r="H19" s="12" t="s">
        <v>524</v>
      </c>
      <c r="I19" s="12" t="s">
        <v>525</v>
      </c>
      <c r="J19" s="12" t="s">
        <v>107</v>
      </c>
      <c r="K19" s="11" t="s">
        <v>108</v>
      </c>
      <c r="L19" s="11" t="s">
        <v>99</v>
      </c>
    </row>
    <row r="20" spans="1:12" ht="55.5" customHeight="1" x14ac:dyDescent="0.2">
      <c r="A20" s="9">
        <v>13</v>
      </c>
      <c r="B20" s="10" t="s">
        <v>280</v>
      </c>
      <c r="C20" s="10" t="s">
        <v>281</v>
      </c>
      <c r="D20" s="10" t="s">
        <v>526</v>
      </c>
      <c r="E20" s="36">
        <v>2</v>
      </c>
      <c r="F20" s="10" t="s">
        <v>527</v>
      </c>
      <c r="G20" s="10" t="s">
        <v>528</v>
      </c>
      <c r="H20" s="10" t="s">
        <v>529</v>
      </c>
      <c r="I20" s="10" t="s">
        <v>585</v>
      </c>
      <c r="J20" s="10" t="s">
        <v>107</v>
      </c>
      <c r="K20" s="9" t="s">
        <v>108</v>
      </c>
      <c r="L20" s="9" t="s">
        <v>759</v>
      </c>
    </row>
    <row r="21" spans="1:12" ht="55.5" customHeight="1" x14ac:dyDescent="0.2">
      <c r="A21" s="11">
        <v>14</v>
      </c>
      <c r="B21" s="12" t="s">
        <v>282</v>
      </c>
      <c r="C21" s="12" t="s">
        <v>283</v>
      </c>
      <c r="D21" s="12" t="s">
        <v>530</v>
      </c>
      <c r="E21" s="36">
        <v>2</v>
      </c>
      <c r="F21" s="12" t="s">
        <v>531</v>
      </c>
      <c r="G21" s="12" t="s">
        <v>532</v>
      </c>
      <c r="H21" s="12" t="s">
        <v>533</v>
      </c>
      <c r="I21" s="12" t="s">
        <v>586</v>
      </c>
      <c r="J21" s="12" t="s">
        <v>107</v>
      </c>
      <c r="K21" s="11" t="s">
        <v>108</v>
      </c>
      <c r="L21" s="11" t="s">
        <v>759</v>
      </c>
    </row>
    <row r="22" spans="1:12" ht="55.5" customHeight="1" x14ac:dyDescent="0.2">
      <c r="A22" s="9">
        <v>15</v>
      </c>
      <c r="B22" s="10" t="s">
        <v>284</v>
      </c>
      <c r="C22" s="10" t="s">
        <v>285</v>
      </c>
      <c r="D22" s="10" t="s">
        <v>534</v>
      </c>
      <c r="E22" s="39">
        <v>4</v>
      </c>
      <c r="F22" s="10" t="s">
        <v>535</v>
      </c>
      <c r="G22" s="10" t="s">
        <v>536</v>
      </c>
      <c r="H22" s="10" t="s">
        <v>537</v>
      </c>
      <c r="I22" s="10" t="s">
        <v>538</v>
      </c>
      <c r="J22" s="10" t="s">
        <v>107</v>
      </c>
      <c r="K22" s="9" t="s">
        <v>108</v>
      </c>
      <c r="L22" s="9" t="s">
        <v>99</v>
      </c>
    </row>
    <row r="23" spans="1:12" ht="55.5" customHeight="1" x14ac:dyDescent="0.2">
      <c r="A23" s="11">
        <v>16</v>
      </c>
      <c r="B23" s="12" t="s">
        <v>286</v>
      </c>
      <c r="C23" s="12" t="s">
        <v>287</v>
      </c>
      <c r="D23" s="12" t="s">
        <v>539</v>
      </c>
      <c r="E23" s="34">
        <v>3</v>
      </c>
      <c r="F23" s="12" t="s">
        <v>540</v>
      </c>
      <c r="G23" s="12" t="s">
        <v>541</v>
      </c>
      <c r="H23" s="12" t="s">
        <v>542</v>
      </c>
      <c r="I23" s="12" t="s">
        <v>543</v>
      </c>
      <c r="J23" s="12" t="s">
        <v>107</v>
      </c>
      <c r="K23" s="11" t="s">
        <v>108</v>
      </c>
      <c r="L23" s="11" t="s">
        <v>99</v>
      </c>
    </row>
    <row r="24" spans="1:12" ht="19.5" customHeight="1" x14ac:dyDescent="0.2">
      <c r="A24" s="110" t="s">
        <v>288</v>
      </c>
      <c r="B24" s="111"/>
      <c r="C24" s="111"/>
      <c r="D24" s="111"/>
      <c r="E24" s="111"/>
      <c r="F24" s="111"/>
      <c r="G24" s="111"/>
      <c r="H24" s="111"/>
      <c r="I24" s="111"/>
      <c r="J24" s="111"/>
      <c r="K24" s="111"/>
      <c r="L24" s="111"/>
    </row>
    <row r="25" spans="1:12" ht="55.5" customHeight="1" x14ac:dyDescent="0.2">
      <c r="A25" s="9">
        <v>17</v>
      </c>
      <c r="B25" s="10" t="s">
        <v>289</v>
      </c>
      <c r="C25" s="10" t="s">
        <v>290</v>
      </c>
      <c r="D25" s="10" t="s">
        <v>544</v>
      </c>
      <c r="E25" s="35">
        <v>4</v>
      </c>
      <c r="F25" s="10" t="s">
        <v>545</v>
      </c>
      <c r="G25" s="10" t="s">
        <v>546</v>
      </c>
      <c r="H25" s="10" t="s">
        <v>547</v>
      </c>
      <c r="I25" s="10" t="s">
        <v>525</v>
      </c>
      <c r="J25" s="10" t="s">
        <v>107</v>
      </c>
      <c r="K25" s="9" t="s">
        <v>108</v>
      </c>
      <c r="L25" s="9" t="s">
        <v>99</v>
      </c>
    </row>
    <row r="26" spans="1:12" ht="55.5" customHeight="1" x14ac:dyDescent="0.2">
      <c r="A26" s="11">
        <v>18</v>
      </c>
      <c r="B26" s="12" t="s">
        <v>291</v>
      </c>
      <c r="C26" s="12" t="s">
        <v>292</v>
      </c>
      <c r="D26" s="12" t="s">
        <v>556</v>
      </c>
      <c r="E26" s="34">
        <v>3</v>
      </c>
      <c r="F26" s="25" t="s">
        <v>557</v>
      </c>
      <c r="G26" s="12" t="s">
        <v>558</v>
      </c>
      <c r="H26" s="12" t="s">
        <v>559</v>
      </c>
      <c r="I26" s="12" t="s">
        <v>560</v>
      </c>
      <c r="J26" s="12" t="s">
        <v>107</v>
      </c>
      <c r="K26" s="11" t="s">
        <v>116</v>
      </c>
      <c r="L26" s="11" t="s">
        <v>99</v>
      </c>
    </row>
    <row r="27" spans="1:12" ht="55.5" customHeight="1" x14ac:dyDescent="0.2">
      <c r="A27" s="9">
        <v>19</v>
      </c>
      <c r="B27" s="10" t="s">
        <v>293</v>
      </c>
      <c r="C27" s="10" t="s">
        <v>294</v>
      </c>
      <c r="D27" s="10" t="s">
        <v>561</v>
      </c>
      <c r="E27" s="35">
        <v>3</v>
      </c>
      <c r="F27" s="10" t="s">
        <v>562</v>
      </c>
      <c r="G27" s="10" t="s">
        <v>563</v>
      </c>
      <c r="H27" s="10" t="s">
        <v>564</v>
      </c>
      <c r="I27" s="10" t="s">
        <v>565</v>
      </c>
      <c r="J27" s="10" t="s">
        <v>107</v>
      </c>
      <c r="K27" s="9" t="s">
        <v>116</v>
      </c>
      <c r="L27" s="9" t="s">
        <v>99</v>
      </c>
    </row>
  </sheetData>
  <mergeCells count="7">
    <mergeCell ref="A24:L24"/>
    <mergeCell ref="A2:L2"/>
    <mergeCell ref="A11:L11"/>
    <mergeCell ref="A1:L1"/>
    <mergeCell ref="A14:L14"/>
    <mergeCell ref="A18:L18"/>
    <mergeCell ref="A4:L4"/>
  </mergeCells>
  <conditionalFormatting sqref="E4:E28">
    <cfRule type="cellIs" dxfId="37" priority="5" operator="equal">
      <formula>4</formula>
    </cfRule>
    <cfRule type="cellIs" dxfId="36" priority="2" operator="equal">
      <formula>1</formula>
    </cfRule>
    <cfRule type="cellIs" dxfId="35" priority="3" operator="equal">
      <formula>2</formula>
    </cfRule>
    <cfRule type="cellIs" dxfId="34" priority="4" operator="equal">
      <formula>3</formula>
    </cfRule>
    <cfRule type="cellIs" dxfId="33" priority="6" operator="equal">
      <formula>5</formula>
    </cfRule>
  </conditionalFormatting>
  <conditionalFormatting sqref="L1:L1048576">
    <cfRule type="containsText" dxfId="32" priority="1" operator="containsText" text="Open">
      <formula>NOT(ISERROR(SEARCH("Open",L1)))</formula>
    </cfRule>
  </conditionalFormatting>
  <conditionalFormatting sqref="L4:L28">
    <cfRule type="cellIs" dxfId="31" priority="8" operator="equal">
      <formula>"Risk Accepted"</formula>
    </cfRule>
    <cfRule type="cellIs" dxfId="30" priority="9" operator="equal">
      <formula>"In Progress"</formula>
    </cfRule>
  </conditionalFormatting>
  <dataValidations count="3">
    <dataValidation type="whole" allowBlank="1" sqref="E4:E28" xr:uid="{00000000-0002-0000-0400-000000000000}">
      <formula1>1</formula1>
      <formula2>5</formula2>
    </dataValidation>
    <dataValidation type="list" allowBlank="1" sqref="K4:K28" xr:uid="{00000000-0002-0000-0400-000001000000}">
      <formula1>"Critical,High,Medium,Low"</formula1>
      <formula2>0</formula2>
    </dataValidation>
    <dataValidation type="list" allowBlank="1" sqref="L4:L28" xr:uid="{00000000-0002-0000-0400-000002000000}">
      <formula1>"Open,In Progress,Closed,Risk Accepted"</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showGridLines="0" topLeftCell="D1" zoomScale="120" zoomScaleNormal="120" workbookViewId="0">
      <pane ySplit="3" topLeftCell="A11" activePane="bottomLeft" state="frozen"/>
      <selection pane="bottomLeft" activeCell="F7" sqref="F7"/>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customWidth="1"/>
    <col min="10" max="10" width="16" customWidth="1"/>
    <col min="11" max="11" width="12" customWidth="1"/>
    <col min="12" max="12" width="14" customWidth="1"/>
  </cols>
  <sheetData>
    <row r="1" spans="1:12" ht="30" customHeight="1" x14ac:dyDescent="0.2">
      <c r="A1" s="120" t="s">
        <v>295</v>
      </c>
      <c r="B1" s="111"/>
      <c r="C1" s="111"/>
      <c r="D1" s="111"/>
      <c r="E1" s="111"/>
      <c r="F1" s="111"/>
      <c r="G1" s="111"/>
      <c r="H1" s="111"/>
      <c r="I1" s="111"/>
      <c r="J1" s="111"/>
      <c r="K1" s="111"/>
      <c r="L1" s="111"/>
    </row>
    <row r="2" spans="1:12" ht="18" customHeight="1" x14ac:dyDescent="0.2">
      <c r="A2" s="112" t="s">
        <v>77</v>
      </c>
      <c r="B2" s="111"/>
      <c r="C2" s="111"/>
      <c r="D2" s="111"/>
      <c r="E2" s="111"/>
      <c r="F2" s="111"/>
      <c r="G2" s="111"/>
      <c r="H2" s="111"/>
      <c r="I2" s="111"/>
      <c r="J2" s="111"/>
      <c r="K2" s="111"/>
      <c r="L2" s="111"/>
    </row>
    <row r="3" spans="1:12" ht="37.5" customHeight="1" x14ac:dyDescent="0.2">
      <c r="A3" s="15" t="s">
        <v>78</v>
      </c>
      <c r="B3" s="15" t="s">
        <v>79</v>
      </c>
      <c r="C3" s="15" t="s">
        <v>80</v>
      </c>
      <c r="D3" s="15" t="s">
        <v>81</v>
      </c>
      <c r="E3" s="15" t="s">
        <v>82</v>
      </c>
      <c r="F3" s="15" t="s">
        <v>83</v>
      </c>
      <c r="G3" s="15" t="s">
        <v>84</v>
      </c>
      <c r="H3" s="15" t="s">
        <v>85</v>
      </c>
      <c r="I3" s="15" t="s">
        <v>86</v>
      </c>
      <c r="J3" s="15" t="s">
        <v>87</v>
      </c>
      <c r="K3" s="15" t="s">
        <v>88</v>
      </c>
      <c r="L3" s="15" t="s">
        <v>6</v>
      </c>
    </row>
    <row r="4" spans="1:12" ht="19.5" customHeight="1" x14ac:dyDescent="0.2">
      <c r="A4" s="110" t="s">
        <v>296</v>
      </c>
      <c r="B4" s="111"/>
      <c r="C4" s="111"/>
      <c r="D4" s="111"/>
      <c r="E4" s="111"/>
      <c r="F4" s="111"/>
      <c r="G4" s="111"/>
      <c r="H4" s="111"/>
      <c r="I4" s="111"/>
      <c r="J4" s="111"/>
      <c r="K4" s="111"/>
      <c r="L4" s="111"/>
    </row>
    <row r="5" spans="1:12" ht="55.5" customHeight="1" x14ac:dyDescent="0.2">
      <c r="A5" s="9">
        <v>1</v>
      </c>
      <c r="B5" s="10" t="s">
        <v>297</v>
      </c>
      <c r="C5" s="10" t="s">
        <v>298</v>
      </c>
      <c r="D5" s="10" t="s">
        <v>590</v>
      </c>
      <c r="E5" s="34">
        <v>3</v>
      </c>
      <c r="F5" s="103" t="s">
        <v>591</v>
      </c>
      <c r="G5" s="103" t="s">
        <v>592</v>
      </c>
      <c r="H5" s="103" t="s">
        <v>593</v>
      </c>
      <c r="I5" s="103" t="s">
        <v>594</v>
      </c>
      <c r="J5" s="10" t="s">
        <v>107</v>
      </c>
      <c r="K5" s="9" t="s">
        <v>108</v>
      </c>
      <c r="L5" s="9" t="s">
        <v>759</v>
      </c>
    </row>
    <row r="6" spans="1:12" ht="55.5" customHeight="1" x14ac:dyDescent="0.2">
      <c r="A6" s="11">
        <v>2</v>
      </c>
      <c r="B6" s="12" t="s">
        <v>299</v>
      </c>
      <c r="C6" s="12" t="s">
        <v>300</v>
      </c>
      <c r="D6" s="12" t="s">
        <v>595</v>
      </c>
      <c r="E6" s="37">
        <v>1</v>
      </c>
      <c r="F6" s="105" t="s">
        <v>630</v>
      </c>
      <c r="G6" s="105" t="s">
        <v>631</v>
      </c>
      <c r="H6" s="105" t="s">
        <v>632</v>
      </c>
      <c r="I6" s="105" t="s">
        <v>596</v>
      </c>
      <c r="J6" s="12" t="s">
        <v>107</v>
      </c>
      <c r="K6" s="11" t="s">
        <v>108</v>
      </c>
      <c r="L6" s="11" t="s">
        <v>99</v>
      </c>
    </row>
    <row r="7" spans="1:12" ht="55.5" customHeight="1" x14ac:dyDescent="0.2">
      <c r="A7" s="9">
        <v>3</v>
      </c>
      <c r="B7" s="10" t="s">
        <v>301</v>
      </c>
      <c r="C7" s="10" t="s">
        <v>302</v>
      </c>
      <c r="D7" s="10" t="s">
        <v>597</v>
      </c>
      <c r="E7" s="34">
        <v>3</v>
      </c>
      <c r="F7" s="104" t="s">
        <v>598</v>
      </c>
      <c r="G7" s="103" t="s">
        <v>599</v>
      </c>
      <c r="H7" s="103" t="s">
        <v>593</v>
      </c>
      <c r="I7" s="103" t="s">
        <v>600</v>
      </c>
      <c r="J7" s="10" t="s">
        <v>107</v>
      </c>
      <c r="K7" s="9" t="s">
        <v>108</v>
      </c>
      <c r="L7" s="9" t="s">
        <v>759</v>
      </c>
    </row>
    <row r="8" spans="1:12" ht="55.5" customHeight="1" x14ac:dyDescent="0.2">
      <c r="A8" s="11">
        <v>4</v>
      </c>
      <c r="B8" s="12" t="s">
        <v>303</v>
      </c>
      <c r="C8" s="12" t="s">
        <v>304</v>
      </c>
      <c r="D8" s="12" t="s">
        <v>636</v>
      </c>
      <c r="E8" s="34">
        <v>2</v>
      </c>
      <c r="F8" s="105" t="s">
        <v>637</v>
      </c>
      <c r="G8" s="105" t="s">
        <v>638</v>
      </c>
      <c r="H8" s="105" t="s">
        <v>639</v>
      </c>
      <c r="I8" s="105" t="s">
        <v>640</v>
      </c>
      <c r="J8" s="12" t="s">
        <v>107</v>
      </c>
      <c r="K8" s="11" t="s">
        <v>108</v>
      </c>
      <c r="L8" s="11" t="s">
        <v>99</v>
      </c>
    </row>
    <row r="9" spans="1:12" ht="55.5" customHeight="1" x14ac:dyDescent="0.2">
      <c r="A9" s="9">
        <v>5</v>
      </c>
      <c r="B9" s="10" t="s">
        <v>305</v>
      </c>
      <c r="C9" s="10" t="s">
        <v>306</v>
      </c>
      <c r="D9" s="10" t="s">
        <v>601</v>
      </c>
      <c r="E9" s="37">
        <v>2</v>
      </c>
      <c r="F9" s="103" t="s">
        <v>602</v>
      </c>
      <c r="G9" s="103" t="s">
        <v>603</v>
      </c>
      <c r="H9" s="103" t="s">
        <v>604</v>
      </c>
      <c r="I9" s="103" t="s">
        <v>644</v>
      </c>
      <c r="J9" s="10" t="s">
        <v>107</v>
      </c>
      <c r="K9" s="9" t="s">
        <v>108</v>
      </c>
      <c r="L9" s="9" t="s">
        <v>99</v>
      </c>
    </row>
    <row r="10" spans="1:12" ht="19.5" customHeight="1" x14ac:dyDescent="0.2">
      <c r="A10" s="110" t="s">
        <v>307</v>
      </c>
      <c r="B10" s="111"/>
      <c r="C10" s="111"/>
      <c r="D10" s="111"/>
      <c r="E10" s="111"/>
      <c r="F10" s="111"/>
      <c r="G10" s="111"/>
      <c r="H10" s="111"/>
      <c r="I10" s="111"/>
      <c r="J10" s="111"/>
      <c r="K10" s="111"/>
      <c r="L10" s="111"/>
    </row>
    <row r="11" spans="1:12" ht="55.5" customHeight="1" x14ac:dyDescent="0.2">
      <c r="A11" s="11">
        <v>6</v>
      </c>
      <c r="B11" s="12" t="s">
        <v>308</v>
      </c>
      <c r="C11" s="12" t="s">
        <v>309</v>
      </c>
      <c r="D11" s="12" t="s">
        <v>605</v>
      </c>
      <c r="E11" s="34">
        <v>3</v>
      </c>
      <c r="F11" s="105" t="s">
        <v>606</v>
      </c>
      <c r="G11" s="105" t="s">
        <v>607</v>
      </c>
      <c r="H11" s="105" t="s">
        <v>608</v>
      </c>
      <c r="I11" s="105" t="s">
        <v>609</v>
      </c>
      <c r="J11" s="12" t="s">
        <v>107</v>
      </c>
      <c r="K11" s="11" t="s">
        <v>108</v>
      </c>
      <c r="L11" s="11" t="s">
        <v>759</v>
      </c>
    </row>
    <row r="12" spans="1:12" ht="55.5" customHeight="1" x14ac:dyDescent="0.2">
      <c r="A12" s="9">
        <v>7</v>
      </c>
      <c r="B12" s="10" t="s">
        <v>310</v>
      </c>
      <c r="C12" s="10" t="s">
        <v>311</v>
      </c>
      <c r="D12" s="10" t="s">
        <v>610</v>
      </c>
      <c r="E12" s="34">
        <v>3</v>
      </c>
      <c r="F12" s="103" t="s">
        <v>611</v>
      </c>
      <c r="G12" s="103" t="s">
        <v>612</v>
      </c>
      <c r="H12" s="103" t="s">
        <v>613</v>
      </c>
      <c r="I12" s="103" t="s">
        <v>614</v>
      </c>
      <c r="J12" s="10" t="s">
        <v>107</v>
      </c>
      <c r="K12" s="9" t="s">
        <v>108</v>
      </c>
      <c r="L12" s="9" t="s">
        <v>759</v>
      </c>
    </row>
    <row r="13" spans="1:12" ht="55.5" customHeight="1" x14ac:dyDescent="0.2">
      <c r="A13" s="11">
        <v>8</v>
      </c>
      <c r="B13" s="12" t="s">
        <v>312</v>
      </c>
      <c r="C13" s="12" t="s">
        <v>313</v>
      </c>
      <c r="D13" s="12" t="s">
        <v>615</v>
      </c>
      <c r="E13" s="35">
        <v>3</v>
      </c>
      <c r="F13" s="105" t="s">
        <v>616</v>
      </c>
      <c r="G13" s="105" t="s">
        <v>617</v>
      </c>
      <c r="H13" s="105" t="s">
        <v>618</v>
      </c>
      <c r="I13" s="105" t="s">
        <v>619</v>
      </c>
      <c r="J13" s="12" t="s">
        <v>107</v>
      </c>
      <c r="K13" s="11" t="s">
        <v>108</v>
      </c>
      <c r="L13" s="11" t="s">
        <v>99</v>
      </c>
    </row>
    <row r="14" spans="1:12" ht="55.5" customHeight="1" x14ac:dyDescent="0.2">
      <c r="A14" s="9">
        <v>9</v>
      </c>
      <c r="B14" s="10" t="s">
        <v>314</v>
      </c>
      <c r="C14" s="10" t="s">
        <v>315</v>
      </c>
      <c r="D14" s="10" t="s">
        <v>648</v>
      </c>
      <c r="E14" s="34">
        <v>2</v>
      </c>
      <c r="F14" s="103" t="s">
        <v>649</v>
      </c>
      <c r="G14" s="103" t="s">
        <v>650</v>
      </c>
      <c r="H14" s="103" t="s">
        <v>651</v>
      </c>
      <c r="I14" s="103" t="s">
        <v>654</v>
      </c>
      <c r="J14" s="10" t="s">
        <v>107</v>
      </c>
      <c r="K14" s="9" t="s">
        <v>116</v>
      </c>
      <c r="L14" s="9" t="s">
        <v>99</v>
      </c>
    </row>
    <row r="15" spans="1:12" ht="55.5" customHeight="1" x14ac:dyDescent="0.2">
      <c r="A15" s="11">
        <v>10</v>
      </c>
      <c r="B15" s="12" t="s">
        <v>316</v>
      </c>
      <c r="C15" s="12" t="s">
        <v>317</v>
      </c>
      <c r="D15" s="12" t="s">
        <v>620</v>
      </c>
      <c r="E15" s="37">
        <v>1</v>
      </c>
      <c r="F15" s="106" t="s">
        <v>621</v>
      </c>
      <c r="G15" s="105" t="s">
        <v>622</v>
      </c>
      <c r="H15" s="105" t="s">
        <v>623</v>
      </c>
      <c r="I15" s="105" t="s">
        <v>624</v>
      </c>
      <c r="J15" s="12" t="s">
        <v>107</v>
      </c>
      <c r="K15" s="11" t="s">
        <v>108</v>
      </c>
      <c r="L15" s="11" t="s">
        <v>759</v>
      </c>
    </row>
    <row r="16" spans="1:12" ht="55.5" customHeight="1" x14ac:dyDescent="0.2">
      <c r="A16" s="9">
        <v>11</v>
      </c>
      <c r="B16" s="10" t="s">
        <v>318</v>
      </c>
      <c r="C16" s="10" t="s">
        <v>319</v>
      </c>
      <c r="D16" s="10" t="s">
        <v>625</v>
      </c>
      <c r="E16" s="37">
        <v>1</v>
      </c>
      <c r="F16" s="103" t="s">
        <v>626</v>
      </c>
      <c r="G16" s="103" t="s">
        <v>627</v>
      </c>
      <c r="H16" s="103" t="s">
        <v>628</v>
      </c>
      <c r="I16" s="103" t="s">
        <v>629</v>
      </c>
      <c r="J16" s="10" t="s">
        <v>107</v>
      </c>
      <c r="K16" s="9" t="s">
        <v>108</v>
      </c>
      <c r="L16" s="9" t="s">
        <v>99</v>
      </c>
    </row>
  </sheetData>
  <mergeCells count="4">
    <mergeCell ref="A1:L1"/>
    <mergeCell ref="A2:L2"/>
    <mergeCell ref="A10:L10"/>
    <mergeCell ref="A4:L4"/>
  </mergeCells>
  <conditionalFormatting sqref="E4:E17">
    <cfRule type="cellIs" dxfId="29" priority="5" operator="equal">
      <formula>4</formula>
    </cfRule>
    <cfRule type="cellIs" dxfId="28" priority="2" operator="equal">
      <formula>1</formula>
    </cfRule>
    <cfRule type="cellIs" dxfId="27" priority="3" operator="equal">
      <formula>2</formula>
    </cfRule>
    <cfRule type="cellIs" dxfId="26" priority="4" operator="equal">
      <formula>3</formula>
    </cfRule>
    <cfRule type="cellIs" dxfId="25" priority="6" operator="equal">
      <formula>5</formula>
    </cfRule>
  </conditionalFormatting>
  <conditionalFormatting sqref="L1:L1048576">
    <cfRule type="containsText" dxfId="24" priority="1" operator="containsText" text="Open">
      <formula>NOT(ISERROR(SEARCH("Open",L1)))</formula>
    </cfRule>
  </conditionalFormatting>
  <conditionalFormatting sqref="L4:L17">
    <cfRule type="cellIs" dxfId="23" priority="8" operator="equal">
      <formula>"Risk Accepted"</formula>
    </cfRule>
    <cfRule type="cellIs" dxfId="22" priority="9" operator="equal">
      <formula>"In Progress"</formula>
    </cfRule>
  </conditionalFormatting>
  <dataValidations count="3">
    <dataValidation type="whole" allowBlank="1" sqref="E4:E17" xr:uid="{00000000-0002-0000-0500-000000000000}">
      <formula1>1</formula1>
      <formula2>5</formula2>
    </dataValidation>
    <dataValidation type="list" allowBlank="1" sqref="K4:K17" xr:uid="{00000000-0002-0000-0500-000001000000}">
      <formula1>"Critical,High,Medium,Low"</formula1>
      <formula2>0</formula2>
    </dataValidation>
    <dataValidation type="list" allowBlank="1" sqref="L4:L17" xr:uid="{00000000-0002-0000-0500-000002000000}">
      <formula1>"Open,In Progress,Closed,Risk Accepted"</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showGridLines="0" tabSelected="1" zoomScaleNormal="120" workbookViewId="0">
      <pane ySplit="3" topLeftCell="A7" activePane="bottomLeft" state="frozen"/>
      <selection pane="bottomLeft" activeCell="D12" sqref="D12"/>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customWidth="1"/>
    <col min="10" max="10" width="16" customWidth="1"/>
    <col min="11" max="11" width="12" customWidth="1"/>
    <col min="12" max="12" width="14" customWidth="1"/>
  </cols>
  <sheetData>
    <row r="1" spans="1:12" ht="30" customHeight="1" x14ac:dyDescent="0.2">
      <c r="A1" s="121" t="s">
        <v>320</v>
      </c>
      <c r="B1" s="111"/>
      <c r="C1" s="111"/>
      <c r="D1" s="111"/>
      <c r="E1" s="111"/>
      <c r="F1" s="111"/>
      <c r="G1" s="111"/>
      <c r="H1" s="111"/>
      <c r="I1" s="111"/>
      <c r="J1" s="111"/>
      <c r="K1" s="111"/>
      <c r="L1" s="111"/>
    </row>
    <row r="2" spans="1:12" ht="18" customHeight="1" x14ac:dyDescent="0.2">
      <c r="A2" s="112" t="s">
        <v>77</v>
      </c>
      <c r="B2" s="111"/>
      <c r="C2" s="111"/>
      <c r="D2" s="111"/>
      <c r="E2" s="111"/>
      <c r="F2" s="111"/>
      <c r="G2" s="111"/>
      <c r="H2" s="111"/>
      <c r="I2" s="111"/>
      <c r="J2" s="111"/>
      <c r="K2" s="111"/>
      <c r="L2" s="111"/>
    </row>
    <row r="3" spans="1:12" ht="37.5" customHeight="1" x14ac:dyDescent="0.2">
      <c r="A3" s="16" t="s">
        <v>78</v>
      </c>
      <c r="B3" s="16" t="s">
        <v>79</v>
      </c>
      <c r="C3" s="16" t="s">
        <v>80</v>
      </c>
      <c r="D3" s="16" t="s">
        <v>81</v>
      </c>
      <c r="E3" s="16" t="s">
        <v>82</v>
      </c>
      <c r="F3" s="16" t="s">
        <v>83</v>
      </c>
      <c r="G3" s="16" t="s">
        <v>84</v>
      </c>
      <c r="H3" s="16" t="s">
        <v>85</v>
      </c>
      <c r="I3" s="16" t="s">
        <v>86</v>
      </c>
      <c r="J3" s="16" t="s">
        <v>87</v>
      </c>
      <c r="K3" s="16" t="s">
        <v>88</v>
      </c>
      <c r="L3" s="16" t="s">
        <v>6</v>
      </c>
    </row>
    <row r="4" spans="1:12" ht="19.5" customHeight="1" x14ac:dyDescent="0.2">
      <c r="A4" s="110" t="s">
        <v>321</v>
      </c>
      <c r="B4" s="111"/>
      <c r="C4" s="111"/>
      <c r="D4" s="111"/>
      <c r="E4" s="111"/>
      <c r="F4" s="111"/>
      <c r="G4" s="111"/>
      <c r="H4" s="111"/>
      <c r="I4" s="111"/>
      <c r="J4" s="111"/>
      <c r="K4" s="111"/>
      <c r="L4" s="111"/>
    </row>
    <row r="5" spans="1:12" ht="55.5" customHeight="1" x14ac:dyDescent="0.2">
      <c r="A5" s="9">
        <v>1</v>
      </c>
      <c r="B5" s="10" t="s">
        <v>322</v>
      </c>
      <c r="C5" s="10" t="s">
        <v>323</v>
      </c>
      <c r="D5" s="10" t="s">
        <v>658</v>
      </c>
      <c r="E5" s="34">
        <v>2</v>
      </c>
      <c r="F5" s="103" t="s">
        <v>659</v>
      </c>
      <c r="G5" s="103" t="s">
        <v>660</v>
      </c>
      <c r="H5" s="103" t="s">
        <v>661</v>
      </c>
      <c r="I5" s="103" t="s">
        <v>662</v>
      </c>
      <c r="J5" s="10" t="s">
        <v>107</v>
      </c>
      <c r="K5" s="9" t="s">
        <v>116</v>
      </c>
      <c r="L5" s="9" t="s">
        <v>99</v>
      </c>
    </row>
    <row r="6" spans="1:12" ht="55.5" customHeight="1" x14ac:dyDescent="0.2">
      <c r="A6" s="11">
        <v>2</v>
      </c>
      <c r="B6" s="12" t="s">
        <v>324</v>
      </c>
      <c r="C6" s="12" t="s">
        <v>325</v>
      </c>
      <c r="D6" s="12" t="s">
        <v>663</v>
      </c>
      <c r="E6" s="34">
        <v>2</v>
      </c>
      <c r="F6" s="105" t="s">
        <v>664</v>
      </c>
      <c r="G6" s="105" t="s">
        <v>665</v>
      </c>
      <c r="H6" s="105" t="s">
        <v>666</v>
      </c>
      <c r="I6" s="105" t="s">
        <v>667</v>
      </c>
      <c r="J6" s="12" t="s">
        <v>107</v>
      </c>
      <c r="K6" s="11" t="s">
        <v>116</v>
      </c>
      <c r="L6" s="11" t="s">
        <v>99</v>
      </c>
    </row>
    <row r="7" spans="1:12" ht="55.5" customHeight="1" x14ac:dyDescent="0.2">
      <c r="A7" s="9">
        <v>3</v>
      </c>
      <c r="B7" s="10" t="s">
        <v>326</v>
      </c>
      <c r="C7" s="10" t="s">
        <v>327</v>
      </c>
      <c r="D7" s="10" t="s">
        <v>668</v>
      </c>
      <c r="E7" s="34">
        <v>2</v>
      </c>
      <c r="F7" s="103" t="s">
        <v>669</v>
      </c>
      <c r="G7" s="103" t="s">
        <v>670</v>
      </c>
      <c r="H7" s="103" t="s">
        <v>671</v>
      </c>
      <c r="I7" s="103" t="s">
        <v>672</v>
      </c>
      <c r="J7" s="10" t="s">
        <v>107</v>
      </c>
      <c r="K7" s="9" t="s">
        <v>116</v>
      </c>
      <c r="L7" s="9" t="s">
        <v>99</v>
      </c>
    </row>
    <row r="8" spans="1:12" ht="55.5" customHeight="1" x14ac:dyDescent="0.2">
      <c r="A8" s="11">
        <v>4</v>
      </c>
      <c r="B8" s="12" t="s">
        <v>328</v>
      </c>
      <c r="C8" s="12" t="s">
        <v>329</v>
      </c>
      <c r="D8" s="12" t="s">
        <v>673</v>
      </c>
      <c r="E8" s="34">
        <v>2</v>
      </c>
      <c r="F8" s="105" t="s">
        <v>763</v>
      </c>
      <c r="G8" s="105" t="s">
        <v>674</v>
      </c>
      <c r="H8" s="105" t="s">
        <v>675</v>
      </c>
      <c r="I8" s="105" t="s">
        <v>762</v>
      </c>
      <c r="J8" s="12" t="s">
        <v>107</v>
      </c>
      <c r="K8" s="11" t="s">
        <v>116</v>
      </c>
      <c r="L8" s="11" t="s">
        <v>99</v>
      </c>
    </row>
    <row r="9" spans="1:12" ht="55.5" customHeight="1" x14ac:dyDescent="0.2">
      <c r="A9" s="9">
        <v>5</v>
      </c>
      <c r="B9" s="10" t="s">
        <v>330</v>
      </c>
      <c r="C9" s="10" t="s">
        <v>331</v>
      </c>
      <c r="D9" s="10" t="s">
        <v>676</v>
      </c>
      <c r="E9" s="34">
        <v>2</v>
      </c>
      <c r="F9" s="103" t="s">
        <v>677</v>
      </c>
      <c r="G9" s="103" t="s">
        <v>678</v>
      </c>
      <c r="H9" s="103" t="s">
        <v>679</v>
      </c>
      <c r="I9" s="103" t="s">
        <v>680</v>
      </c>
      <c r="J9" s="10" t="s">
        <v>107</v>
      </c>
      <c r="K9" s="9" t="s">
        <v>116</v>
      </c>
      <c r="L9" s="9" t="s">
        <v>99</v>
      </c>
    </row>
    <row r="10" spans="1:12" ht="19.5" customHeight="1" x14ac:dyDescent="0.2">
      <c r="A10" s="110" t="s">
        <v>332</v>
      </c>
      <c r="B10" s="111"/>
      <c r="C10" s="111"/>
      <c r="D10" s="111"/>
      <c r="E10" s="111"/>
      <c r="F10" s="111"/>
      <c r="G10" s="111"/>
      <c r="H10" s="111"/>
      <c r="I10" s="111"/>
      <c r="J10" s="111"/>
      <c r="K10" s="111"/>
      <c r="L10" s="111"/>
    </row>
    <row r="11" spans="1:12" ht="55.5" customHeight="1" x14ac:dyDescent="0.2">
      <c r="A11" s="11">
        <v>6</v>
      </c>
      <c r="B11" s="12" t="s">
        <v>333</v>
      </c>
      <c r="C11" s="12" t="s">
        <v>334</v>
      </c>
      <c r="D11" s="12" t="s">
        <v>681</v>
      </c>
      <c r="E11" s="34">
        <v>2</v>
      </c>
      <c r="F11" s="105" t="s">
        <v>682</v>
      </c>
      <c r="G11" s="105" t="s">
        <v>683</v>
      </c>
      <c r="H11" s="105" t="s">
        <v>684</v>
      </c>
      <c r="I11" s="105" t="s">
        <v>685</v>
      </c>
      <c r="J11" s="12" t="s">
        <v>107</v>
      </c>
      <c r="K11" s="11" t="s">
        <v>116</v>
      </c>
      <c r="L11" s="11" t="s">
        <v>99</v>
      </c>
    </row>
    <row r="12" spans="1:12" ht="55.5" customHeight="1" x14ac:dyDescent="0.2">
      <c r="A12" s="9">
        <v>7</v>
      </c>
      <c r="B12" s="10" t="s">
        <v>335</v>
      </c>
      <c r="C12" s="10" t="s">
        <v>336</v>
      </c>
      <c r="D12" s="10" t="s">
        <v>337</v>
      </c>
      <c r="E12" s="35">
        <v>3</v>
      </c>
      <c r="F12" s="103" t="s">
        <v>338</v>
      </c>
      <c r="G12" s="103" t="s">
        <v>339</v>
      </c>
      <c r="H12" s="103" t="s">
        <v>686</v>
      </c>
      <c r="I12" s="103" t="s">
        <v>687</v>
      </c>
      <c r="J12" s="10" t="s">
        <v>107</v>
      </c>
      <c r="K12" s="9" t="s">
        <v>116</v>
      </c>
      <c r="L12" s="9" t="s">
        <v>99</v>
      </c>
    </row>
    <row r="13" spans="1:12" ht="55.5" customHeight="1" x14ac:dyDescent="0.2">
      <c r="A13" s="11">
        <v>8</v>
      </c>
      <c r="B13" s="12" t="s">
        <v>340</v>
      </c>
      <c r="C13" s="12" t="s">
        <v>341</v>
      </c>
      <c r="D13" s="12" t="s">
        <v>688</v>
      </c>
      <c r="E13" s="35">
        <v>3</v>
      </c>
      <c r="F13" s="105" t="s">
        <v>689</v>
      </c>
      <c r="G13" s="105" t="s">
        <v>690</v>
      </c>
      <c r="H13" s="105" t="s">
        <v>691</v>
      </c>
      <c r="I13" s="105" t="s">
        <v>692</v>
      </c>
      <c r="J13" s="12" t="s">
        <v>107</v>
      </c>
      <c r="K13" s="11" t="s">
        <v>108</v>
      </c>
      <c r="L13" s="11" t="s">
        <v>99</v>
      </c>
    </row>
    <row r="14" spans="1:12" ht="19.5" customHeight="1" x14ac:dyDescent="0.2">
      <c r="A14" s="110" t="s">
        <v>342</v>
      </c>
      <c r="B14" s="111"/>
      <c r="C14" s="111"/>
      <c r="D14" s="111"/>
      <c r="E14" s="111"/>
      <c r="F14" s="111"/>
      <c r="G14" s="111"/>
      <c r="H14" s="111"/>
      <c r="I14" s="111"/>
      <c r="J14" s="111"/>
      <c r="K14" s="111"/>
      <c r="L14" s="111"/>
    </row>
    <row r="15" spans="1:12" ht="55.5" customHeight="1" x14ac:dyDescent="0.2">
      <c r="A15" s="9">
        <v>9</v>
      </c>
      <c r="B15" s="10" t="s">
        <v>343</v>
      </c>
      <c r="C15" s="10" t="s">
        <v>344</v>
      </c>
      <c r="D15" s="10" t="s">
        <v>693</v>
      </c>
      <c r="E15" s="37">
        <v>1</v>
      </c>
      <c r="F15" s="103" t="s">
        <v>764</v>
      </c>
      <c r="G15" s="103" t="s">
        <v>694</v>
      </c>
      <c r="H15" s="103" t="s">
        <v>695</v>
      </c>
      <c r="I15" s="103" t="s">
        <v>765</v>
      </c>
      <c r="J15" s="10" t="s">
        <v>107</v>
      </c>
      <c r="K15" s="9" t="s">
        <v>108</v>
      </c>
      <c r="L15" s="9" t="s">
        <v>99</v>
      </c>
    </row>
    <row r="16" spans="1:12" ht="55.5" customHeight="1" x14ac:dyDescent="0.2">
      <c r="A16" s="11">
        <v>10</v>
      </c>
      <c r="B16" s="12" t="s">
        <v>345</v>
      </c>
      <c r="C16" s="12" t="s">
        <v>346</v>
      </c>
      <c r="D16" s="12" t="s">
        <v>696</v>
      </c>
      <c r="E16" s="34">
        <v>2</v>
      </c>
      <c r="F16" s="105" t="s">
        <v>697</v>
      </c>
      <c r="G16" s="105" t="s">
        <v>698</v>
      </c>
      <c r="H16" s="105" t="s">
        <v>699</v>
      </c>
      <c r="I16" s="105" t="s">
        <v>700</v>
      </c>
      <c r="J16" s="12" t="s">
        <v>107</v>
      </c>
      <c r="K16" s="11" t="s">
        <v>108</v>
      </c>
      <c r="L16" s="11" t="s">
        <v>99</v>
      </c>
    </row>
    <row r="17" spans="1:12" ht="19.5" customHeight="1" x14ac:dyDescent="0.2">
      <c r="A17" s="110" t="s">
        <v>347</v>
      </c>
      <c r="B17" s="111"/>
      <c r="C17" s="111"/>
      <c r="D17" s="111"/>
      <c r="E17" s="111"/>
      <c r="F17" s="111"/>
      <c r="G17" s="111"/>
      <c r="H17" s="111"/>
      <c r="I17" s="111"/>
      <c r="J17" s="111"/>
      <c r="K17" s="111"/>
      <c r="L17" s="111"/>
    </row>
    <row r="18" spans="1:12" ht="55.5" customHeight="1" x14ac:dyDescent="0.2">
      <c r="A18" s="9">
        <v>11</v>
      </c>
      <c r="B18" s="10" t="s">
        <v>348</v>
      </c>
      <c r="C18" s="10" t="s">
        <v>349</v>
      </c>
      <c r="D18" s="10" t="s">
        <v>701</v>
      </c>
      <c r="E18" s="34">
        <v>2</v>
      </c>
      <c r="F18" s="103" t="s">
        <v>702</v>
      </c>
      <c r="G18" s="103" t="s">
        <v>703</v>
      </c>
      <c r="H18" s="103" t="s">
        <v>704</v>
      </c>
      <c r="I18" s="103" t="s">
        <v>705</v>
      </c>
      <c r="J18" s="10" t="s">
        <v>107</v>
      </c>
      <c r="K18" s="9" t="s">
        <v>116</v>
      </c>
      <c r="L18" s="9" t="s">
        <v>99</v>
      </c>
    </row>
    <row r="19" spans="1:12" ht="55.5" customHeight="1" x14ac:dyDescent="0.2">
      <c r="A19" s="11">
        <v>12</v>
      </c>
      <c r="B19" s="12" t="s">
        <v>350</v>
      </c>
      <c r="C19" s="12" t="s">
        <v>351</v>
      </c>
      <c r="D19" s="12" t="s">
        <v>706</v>
      </c>
      <c r="E19" s="34">
        <v>2</v>
      </c>
      <c r="F19" s="105" t="s">
        <v>707</v>
      </c>
      <c r="G19" s="105" t="s">
        <v>708</v>
      </c>
      <c r="H19" s="105" t="s">
        <v>709</v>
      </c>
      <c r="I19" s="105" t="s">
        <v>710</v>
      </c>
      <c r="J19" s="12" t="s">
        <v>107</v>
      </c>
      <c r="K19" s="11" t="s">
        <v>116</v>
      </c>
      <c r="L19" s="11" t="s">
        <v>99</v>
      </c>
    </row>
  </sheetData>
  <mergeCells count="6">
    <mergeCell ref="A2:L2"/>
    <mergeCell ref="A10:L10"/>
    <mergeCell ref="A1:L1"/>
    <mergeCell ref="A14:L14"/>
    <mergeCell ref="A17:L17"/>
    <mergeCell ref="A4:L4"/>
  </mergeCells>
  <conditionalFormatting sqref="E4:E20">
    <cfRule type="cellIs" dxfId="21" priority="5" operator="equal">
      <formula>4</formula>
    </cfRule>
    <cfRule type="cellIs" dxfId="20" priority="2" operator="equal">
      <formula>1</formula>
    </cfRule>
    <cfRule type="cellIs" dxfId="19" priority="3" operator="equal">
      <formula>2</formula>
    </cfRule>
    <cfRule type="cellIs" dxfId="18" priority="4" operator="equal">
      <formula>3</formula>
    </cfRule>
    <cfRule type="cellIs" dxfId="17" priority="6" operator="equal">
      <formula>5</formula>
    </cfRule>
  </conditionalFormatting>
  <conditionalFormatting sqref="L1:L1048576">
    <cfRule type="containsText" dxfId="16" priority="1" operator="containsText" text="Open">
      <formula>NOT(ISERROR(SEARCH("Open",L1)))</formula>
    </cfRule>
  </conditionalFormatting>
  <conditionalFormatting sqref="L4:L20">
    <cfRule type="cellIs" dxfId="15" priority="8" operator="equal">
      <formula>"Closed"</formula>
    </cfRule>
    <cfRule type="cellIs" dxfId="14" priority="9" operator="equal">
      <formula>"In Progress"</formula>
    </cfRule>
  </conditionalFormatting>
  <dataValidations count="3">
    <dataValidation type="whole" allowBlank="1" sqref="E4:E20" xr:uid="{00000000-0002-0000-0600-000000000000}">
      <formula1>1</formula1>
      <formula2>5</formula2>
    </dataValidation>
    <dataValidation type="list" allowBlank="1" sqref="K4:K20" xr:uid="{00000000-0002-0000-0600-000001000000}">
      <formula1>"Critical,High,Medium,Low"</formula1>
      <formula2>0</formula2>
    </dataValidation>
    <dataValidation type="list" allowBlank="1" sqref="L4:L20" xr:uid="{00000000-0002-0000-0600-000002000000}">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
  <sheetViews>
    <sheetView showGridLines="0" zoomScaleNormal="100" workbookViewId="0">
      <pane ySplit="3" topLeftCell="A4" activePane="bottomLeft" state="frozen"/>
      <selection activeCell="I19" sqref="I19"/>
      <selection pane="bottomLeft" activeCell="G16" sqref="G16"/>
    </sheetView>
  </sheetViews>
  <sheetFormatPr baseColWidth="10" defaultColWidth="8.6640625" defaultRowHeight="15" x14ac:dyDescent="0.2"/>
  <cols>
    <col min="1" max="1" width="4" customWidth="1"/>
    <col min="2" max="2" width="13" customWidth="1"/>
    <col min="3" max="3" width="22" customWidth="1"/>
    <col min="4" max="4" width="46" customWidth="1"/>
    <col min="5" max="5" width="10" customWidth="1"/>
    <col min="6" max="7" width="30" customWidth="1"/>
    <col min="8" max="8" width="28" customWidth="1"/>
    <col min="9" max="9" width="36" customWidth="1"/>
    <col min="10" max="10" width="16" customWidth="1"/>
    <col min="11" max="11" width="12" customWidth="1"/>
    <col min="12" max="12" width="14" customWidth="1"/>
  </cols>
  <sheetData>
    <row r="1" spans="1:12" ht="30" customHeight="1" x14ac:dyDescent="0.2">
      <c r="A1" s="122" t="s">
        <v>352</v>
      </c>
      <c r="B1" s="111"/>
      <c r="C1" s="111"/>
      <c r="D1" s="111"/>
      <c r="E1" s="111"/>
      <c r="F1" s="111"/>
      <c r="G1" s="111"/>
      <c r="H1" s="111"/>
      <c r="I1" s="111"/>
      <c r="J1" s="111"/>
      <c r="K1" s="111"/>
      <c r="L1" s="111"/>
    </row>
    <row r="2" spans="1:12" ht="18" customHeight="1" x14ac:dyDescent="0.2">
      <c r="A2" s="112" t="s">
        <v>77</v>
      </c>
      <c r="B2" s="111"/>
      <c r="C2" s="111"/>
      <c r="D2" s="111"/>
      <c r="E2" s="111"/>
      <c r="F2" s="111"/>
      <c r="G2" s="111"/>
      <c r="H2" s="111"/>
      <c r="I2" s="111"/>
      <c r="J2" s="111"/>
      <c r="K2" s="111"/>
      <c r="L2" s="111"/>
    </row>
    <row r="3" spans="1:12" ht="37.5" customHeight="1" x14ac:dyDescent="0.2">
      <c r="A3" s="17" t="s">
        <v>78</v>
      </c>
      <c r="B3" s="17" t="s">
        <v>79</v>
      </c>
      <c r="C3" s="17" t="s">
        <v>80</v>
      </c>
      <c r="D3" s="17" t="s">
        <v>81</v>
      </c>
      <c r="E3" s="17" t="s">
        <v>82</v>
      </c>
      <c r="F3" s="17" t="s">
        <v>83</v>
      </c>
      <c r="G3" s="17" t="s">
        <v>84</v>
      </c>
      <c r="H3" s="17" t="s">
        <v>85</v>
      </c>
      <c r="I3" s="17" t="s">
        <v>86</v>
      </c>
      <c r="J3" s="17" t="s">
        <v>87</v>
      </c>
      <c r="K3" s="17" t="s">
        <v>88</v>
      </c>
      <c r="L3" s="17" t="s">
        <v>6</v>
      </c>
    </row>
    <row r="4" spans="1:12" ht="19.5" customHeight="1" x14ac:dyDescent="0.2">
      <c r="A4" s="110" t="s">
        <v>353</v>
      </c>
      <c r="B4" s="111"/>
      <c r="C4" s="111"/>
      <c r="D4" s="111"/>
      <c r="E4" s="111"/>
      <c r="F4" s="111"/>
      <c r="G4" s="111"/>
      <c r="H4" s="111"/>
      <c r="I4" s="111"/>
      <c r="J4" s="111"/>
      <c r="K4" s="111"/>
      <c r="L4" s="111"/>
    </row>
    <row r="5" spans="1:12" ht="65" customHeight="1" x14ac:dyDescent="0.2">
      <c r="A5" s="9">
        <v>1</v>
      </c>
      <c r="B5" s="10" t="s">
        <v>354</v>
      </c>
      <c r="C5" s="10" t="s">
        <v>355</v>
      </c>
      <c r="D5" s="10" t="s">
        <v>718</v>
      </c>
      <c r="E5" s="35">
        <v>3</v>
      </c>
      <c r="F5" s="103" t="s">
        <v>719</v>
      </c>
      <c r="G5" s="103" t="s">
        <v>720</v>
      </c>
      <c r="H5" s="103" t="s">
        <v>721</v>
      </c>
      <c r="I5" s="103" t="s">
        <v>722</v>
      </c>
      <c r="J5" s="10" t="s">
        <v>107</v>
      </c>
      <c r="K5" s="9" t="s">
        <v>116</v>
      </c>
      <c r="L5" s="9" t="s">
        <v>99</v>
      </c>
    </row>
    <row r="6" spans="1:12" ht="55.5" customHeight="1" x14ac:dyDescent="0.2">
      <c r="A6" s="11">
        <v>2</v>
      </c>
      <c r="B6" s="12" t="s">
        <v>356</v>
      </c>
      <c r="C6" s="12" t="s">
        <v>357</v>
      </c>
      <c r="D6" s="12" t="s">
        <v>723</v>
      </c>
      <c r="E6" s="37">
        <v>3</v>
      </c>
      <c r="F6" s="105" t="s">
        <v>724</v>
      </c>
      <c r="G6" s="105" t="s">
        <v>725</v>
      </c>
      <c r="H6" s="105" t="s">
        <v>726</v>
      </c>
      <c r="I6" s="105" t="s">
        <v>727</v>
      </c>
      <c r="J6" s="12" t="s">
        <v>107</v>
      </c>
      <c r="K6" s="11" t="s">
        <v>108</v>
      </c>
      <c r="L6" s="11" t="s">
        <v>99</v>
      </c>
    </row>
    <row r="7" spans="1:12" ht="55.5" customHeight="1" x14ac:dyDescent="0.2">
      <c r="A7" s="9">
        <v>3</v>
      </c>
      <c r="B7" s="10" t="s">
        <v>358</v>
      </c>
      <c r="C7" s="10" t="s">
        <v>359</v>
      </c>
      <c r="D7" s="10" t="s">
        <v>728</v>
      </c>
      <c r="E7" s="34">
        <v>2</v>
      </c>
      <c r="F7" s="103" t="s">
        <v>729</v>
      </c>
      <c r="G7" s="103" t="s">
        <v>730</v>
      </c>
      <c r="H7" s="103" t="s">
        <v>731</v>
      </c>
      <c r="I7" s="103" t="s">
        <v>732</v>
      </c>
      <c r="J7" s="10" t="s">
        <v>107</v>
      </c>
      <c r="K7" s="9" t="s">
        <v>108</v>
      </c>
      <c r="L7" s="9" t="s">
        <v>99</v>
      </c>
    </row>
    <row r="8" spans="1:12" ht="55.5" customHeight="1" x14ac:dyDescent="0.2">
      <c r="A8" s="11">
        <v>4</v>
      </c>
      <c r="B8" s="12" t="s">
        <v>360</v>
      </c>
      <c r="C8" s="12" t="s">
        <v>361</v>
      </c>
      <c r="D8" s="12" t="s">
        <v>733</v>
      </c>
      <c r="E8" s="34">
        <v>2</v>
      </c>
      <c r="F8" s="105" t="s">
        <v>734</v>
      </c>
      <c r="G8" s="105" t="s">
        <v>735</v>
      </c>
      <c r="H8" s="105" t="s">
        <v>736</v>
      </c>
      <c r="I8" s="105" t="s">
        <v>737</v>
      </c>
      <c r="J8" s="12" t="s">
        <v>107</v>
      </c>
      <c r="K8" s="11" t="s">
        <v>116</v>
      </c>
      <c r="L8" s="11" t="s">
        <v>99</v>
      </c>
    </row>
    <row r="9" spans="1:12" ht="55.5" customHeight="1" x14ac:dyDescent="0.2">
      <c r="A9" s="9">
        <v>5</v>
      </c>
      <c r="B9" s="10" t="s">
        <v>362</v>
      </c>
      <c r="C9" s="10" t="s">
        <v>363</v>
      </c>
      <c r="D9" s="10" t="s">
        <v>738</v>
      </c>
      <c r="E9" s="34">
        <v>3</v>
      </c>
      <c r="F9" s="103" t="s">
        <v>739</v>
      </c>
      <c r="G9" s="103" t="s">
        <v>740</v>
      </c>
      <c r="H9" s="103" t="s">
        <v>736</v>
      </c>
      <c r="I9" s="103" t="s">
        <v>741</v>
      </c>
      <c r="J9" s="10" t="s">
        <v>107</v>
      </c>
      <c r="K9" s="9" t="s">
        <v>108</v>
      </c>
      <c r="L9" s="9" t="s">
        <v>759</v>
      </c>
    </row>
    <row r="10" spans="1:12" ht="19.5" customHeight="1" x14ac:dyDescent="0.2">
      <c r="A10" s="110" t="s">
        <v>364</v>
      </c>
      <c r="B10" s="111"/>
      <c r="C10" s="111"/>
      <c r="D10" s="111"/>
      <c r="E10" s="111"/>
      <c r="F10" s="111"/>
      <c r="G10" s="111"/>
      <c r="H10" s="111"/>
      <c r="I10" s="111"/>
      <c r="J10" s="111"/>
      <c r="K10" s="111"/>
      <c r="L10" s="111"/>
    </row>
    <row r="11" spans="1:12" ht="55.5" customHeight="1" x14ac:dyDescent="0.2">
      <c r="A11" s="11">
        <v>6</v>
      </c>
      <c r="B11" s="12" t="s">
        <v>365</v>
      </c>
      <c r="C11" s="12" t="s">
        <v>366</v>
      </c>
      <c r="D11" s="12" t="s">
        <v>742</v>
      </c>
      <c r="E11" s="34">
        <v>2</v>
      </c>
      <c r="F11" s="105" t="s">
        <v>743</v>
      </c>
      <c r="G11" s="105" t="s">
        <v>744</v>
      </c>
      <c r="H11" s="105" t="s">
        <v>745</v>
      </c>
      <c r="I11" s="105" t="s">
        <v>746</v>
      </c>
      <c r="J11" s="12" t="s">
        <v>107</v>
      </c>
      <c r="K11" s="11" t="s">
        <v>108</v>
      </c>
      <c r="L11" s="11" t="s">
        <v>99</v>
      </c>
    </row>
    <row r="12" spans="1:12" ht="55.5" customHeight="1" x14ac:dyDescent="0.2">
      <c r="A12" s="9">
        <v>7</v>
      </c>
      <c r="B12" s="10" t="s">
        <v>367</v>
      </c>
      <c r="C12" s="10" t="s">
        <v>368</v>
      </c>
      <c r="D12" s="10" t="s">
        <v>369</v>
      </c>
      <c r="E12" s="35">
        <v>3</v>
      </c>
      <c r="F12" s="103" t="s">
        <v>747</v>
      </c>
      <c r="G12" s="103" t="s">
        <v>748</v>
      </c>
      <c r="H12" s="103" t="s">
        <v>749</v>
      </c>
      <c r="I12" s="103" t="s">
        <v>750</v>
      </c>
      <c r="J12" s="10" t="s">
        <v>107</v>
      </c>
      <c r="K12" s="9" t="s">
        <v>108</v>
      </c>
      <c r="L12" s="9" t="s">
        <v>99</v>
      </c>
    </row>
  </sheetData>
  <mergeCells count="4">
    <mergeCell ref="A1:L1"/>
    <mergeCell ref="A2:L2"/>
    <mergeCell ref="A10:L10"/>
    <mergeCell ref="A4:L4"/>
  </mergeCells>
  <conditionalFormatting sqref="E4:E13">
    <cfRule type="cellIs" dxfId="13" priority="1" operator="equal">
      <formula>1</formula>
    </cfRule>
    <cfRule type="cellIs" dxfId="12" priority="2" operator="equal">
      <formula>2</formula>
    </cfRule>
    <cfRule type="cellIs" dxfId="11" priority="3" operator="equal">
      <formula>3</formula>
    </cfRule>
    <cfRule type="cellIs" dxfId="10" priority="4" operator="equal">
      <formula>4</formula>
    </cfRule>
    <cfRule type="cellIs" dxfId="9" priority="5" operator="equal">
      <formula>5</formula>
    </cfRule>
  </conditionalFormatting>
  <conditionalFormatting sqref="L4:L13">
    <cfRule type="cellIs" dxfId="8" priority="7" operator="equal">
      <formula>"Risk Accepted"</formula>
    </cfRule>
    <cfRule type="cellIs" dxfId="7" priority="8" operator="equal">
      <formula>"In Progress"</formula>
    </cfRule>
  </conditionalFormatting>
  <dataValidations count="3">
    <dataValidation type="whole" allowBlank="1" sqref="E4:E13" xr:uid="{00000000-0002-0000-0700-000000000000}">
      <formula1>1</formula1>
      <formula2>5</formula2>
    </dataValidation>
    <dataValidation type="list" allowBlank="1" sqref="K4:K13" xr:uid="{00000000-0002-0000-0700-000001000000}">
      <formula1>"Critical,High,Medium,Low"</formula1>
      <formula2>0</formula2>
    </dataValidation>
    <dataValidation type="list" allowBlank="1" sqref="L4:L13" xr:uid="{00000000-0002-0000-0700-000002000000}">
      <formula1>"Open,In Progress,Closed,Risk Accepted"</formula1>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4"/>
  <sheetViews>
    <sheetView showGridLines="0" zoomScaleNormal="100" workbookViewId="0">
      <pane ySplit="3" topLeftCell="A4" activePane="bottomLeft" state="frozen"/>
      <selection pane="bottomLeft" activeCell="K13" sqref="K13"/>
    </sheetView>
  </sheetViews>
  <sheetFormatPr baseColWidth="10" defaultColWidth="8.6640625" defaultRowHeight="15" x14ac:dyDescent="0.2"/>
  <cols>
    <col min="1" max="1" width="4" customWidth="1"/>
    <col min="2" max="2" width="12" customWidth="1"/>
    <col min="3" max="3" width="38" customWidth="1"/>
    <col min="4" max="4" width="20" customWidth="1"/>
    <col min="5" max="6" width="13" customWidth="1"/>
    <col min="7" max="7" width="13" style="61" customWidth="1"/>
    <col min="8" max="8" width="18" customWidth="1"/>
    <col min="9" max="9" width="18.83203125" customWidth="1"/>
    <col min="10" max="10" width="34" customWidth="1"/>
    <col min="11" max="11" width="14" customWidth="1"/>
  </cols>
  <sheetData>
    <row r="1" spans="1:11" x14ac:dyDescent="0.2">
      <c r="A1" s="123" t="s">
        <v>370</v>
      </c>
      <c r="B1" s="111"/>
      <c r="C1" s="111"/>
      <c r="D1" s="111"/>
      <c r="E1" s="111"/>
      <c r="F1" s="111"/>
      <c r="G1" s="111"/>
      <c r="H1" s="111"/>
      <c r="I1" s="111"/>
      <c r="J1" s="111"/>
      <c r="K1" s="111"/>
    </row>
    <row r="2" spans="1:11" x14ac:dyDescent="0.2">
      <c r="A2" s="112" t="s">
        <v>371</v>
      </c>
      <c r="B2" s="111"/>
      <c r="C2" s="111"/>
      <c r="D2" s="111"/>
      <c r="E2" s="111"/>
      <c r="F2" s="111"/>
      <c r="G2" s="111"/>
      <c r="H2" s="111"/>
      <c r="I2" s="111"/>
      <c r="J2" s="111"/>
      <c r="K2" s="111"/>
    </row>
    <row r="3" spans="1:11" ht="28" customHeight="1" x14ac:dyDescent="0.2">
      <c r="A3" s="18" t="s">
        <v>78</v>
      </c>
      <c r="B3" s="18" t="s">
        <v>372</v>
      </c>
      <c r="C3" s="18" t="s">
        <v>373</v>
      </c>
      <c r="D3" s="18" t="s">
        <v>374</v>
      </c>
      <c r="E3" s="18" t="s">
        <v>375</v>
      </c>
      <c r="F3" s="18" t="s">
        <v>376</v>
      </c>
      <c r="G3" s="18" t="s">
        <v>377</v>
      </c>
      <c r="H3" s="18" t="s">
        <v>87</v>
      </c>
      <c r="I3" s="18" t="s">
        <v>378</v>
      </c>
      <c r="J3" s="18" t="s">
        <v>379</v>
      </c>
      <c r="K3" s="18" t="s">
        <v>6</v>
      </c>
    </row>
    <row r="4" spans="1:11" ht="50" customHeight="1" x14ac:dyDescent="0.2">
      <c r="A4" s="40">
        <v>1</v>
      </c>
      <c r="B4" s="51" t="s">
        <v>380</v>
      </c>
      <c r="C4" s="51" t="s">
        <v>381</v>
      </c>
      <c r="D4" s="51" t="s">
        <v>90</v>
      </c>
      <c r="E4" s="62">
        <v>2</v>
      </c>
      <c r="F4" s="62">
        <v>2</v>
      </c>
      <c r="G4" s="56">
        <v>4</v>
      </c>
      <c r="H4" s="62" t="s">
        <v>107</v>
      </c>
      <c r="I4" s="62" t="s">
        <v>382</v>
      </c>
      <c r="J4" s="51" t="s">
        <v>383</v>
      </c>
      <c r="K4" s="62" t="s">
        <v>99</v>
      </c>
    </row>
    <row r="5" spans="1:11" ht="50" customHeight="1" x14ac:dyDescent="0.2">
      <c r="A5" s="41">
        <v>2</v>
      </c>
      <c r="B5" s="52" t="s">
        <v>384</v>
      </c>
      <c r="C5" s="52" t="s">
        <v>385</v>
      </c>
      <c r="D5" s="52" t="s">
        <v>176</v>
      </c>
      <c r="E5" s="63">
        <v>2</v>
      </c>
      <c r="F5" s="63">
        <v>2</v>
      </c>
      <c r="G5" s="56">
        <v>4</v>
      </c>
      <c r="H5" s="63" t="s">
        <v>107</v>
      </c>
      <c r="I5" s="63" t="s">
        <v>382</v>
      </c>
      <c r="J5" s="52" t="s">
        <v>386</v>
      </c>
      <c r="K5" s="63" t="s">
        <v>99</v>
      </c>
    </row>
    <row r="6" spans="1:11" ht="50" customHeight="1" x14ac:dyDescent="0.2">
      <c r="A6" s="40">
        <v>3</v>
      </c>
      <c r="B6" s="51" t="s">
        <v>387</v>
      </c>
      <c r="C6" s="51" t="s">
        <v>388</v>
      </c>
      <c r="D6" s="51" t="s">
        <v>183</v>
      </c>
      <c r="E6" s="62">
        <v>2</v>
      </c>
      <c r="F6" s="62">
        <v>2</v>
      </c>
      <c r="G6" s="56">
        <v>4</v>
      </c>
      <c r="H6" s="62" t="s">
        <v>107</v>
      </c>
      <c r="I6" s="62" t="s">
        <v>382</v>
      </c>
      <c r="J6" s="51" t="s">
        <v>389</v>
      </c>
      <c r="K6" s="62" t="s">
        <v>99</v>
      </c>
    </row>
    <row r="7" spans="1:11" ht="50" customHeight="1" x14ac:dyDescent="0.2">
      <c r="A7" s="45">
        <v>4</v>
      </c>
      <c r="B7" s="52" t="s">
        <v>390</v>
      </c>
      <c r="C7" s="52" t="s">
        <v>391</v>
      </c>
      <c r="D7" s="52" t="s">
        <v>191</v>
      </c>
      <c r="E7" s="63">
        <v>3</v>
      </c>
      <c r="F7" s="63">
        <v>3</v>
      </c>
      <c r="G7" s="57">
        <v>9</v>
      </c>
      <c r="H7" s="63" t="s">
        <v>107</v>
      </c>
      <c r="I7" s="63" t="s">
        <v>382</v>
      </c>
      <c r="J7" s="52" t="s">
        <v>197</v>
      </c>
      <c r="K7" s="63" t="s">
        <v>99</v>
      </c>
    </row>
    <row r="8" spans="1:11" ht="50" customHeight="1" x14ac:dyDescent="0.2">
      <c r="A8" s="46">
        <v>5</v>
      </c>
      <c r="B8" s="51" t="s">
        <v>392</v>
      </c>
      <c r="C8" s="51" t="s">
        <v>393</v>
      </c>
      <c r="D8" s="51" t="s">
        <v>198</v>
      </c>
      <c r="E8" s="62">
        <v>1</v>
      </c>
      <c r="F8" s="62">
        <v>2</v>
      </c>
      <c r="G8" s="56">
        <v>2</v>
      </c>
      <c r="H8" s="64" t="s">
        <v>107</v>
      </c>
      <c r="I8" s="64" t="s">
        <v>382</v>
      </c>
      <c r="J8" s="51" t="s">
        <v>394</v>
      </c>
      <c r="K8" s="62" t="s">
        <v>99</v>
      </c>
    </row>
    <row r="9" spans="1:11" ht="50" customHeight="1" x14ac:dyDescent="0.2">
      <c r="A9" s="46">
        <v>6</v>
      </c>
      <c r="B9" s="53" t="s">
        <v>580</v>
      </c>
      <c r="C9" s="53" t="s">
        <v>458</v>
      </c>
      <c r="D9" s="53" t="s">
        <v>221</v>
      </c>
      <c r="E9" s="62">
        <v>2</v>
      </c>
      <c r="F9" s="62">
        <v>3</v>
      </c>
      <c r="G9" s="58">
        <v>6</v>
      </c>
      <c r="H9" s="64" t="s">
        <v>107</v>
      </c>
      <c r="I9" s="64" t="s">
        <v>382</v>
      </c>
      <c r="J9" s="53" t="s">
        <v>459</v>
      </c>
      <c r="K9" s="62" t="s">
        <v>99</v>
      </c>
    </row>
    <row r="10" spans="1:11" ht="50" customHeight="1" x14ac:dyDescent="0.2">
      <c r="A10" s="46">
        <v>7</v>
      </c>
      <c r="B10" s="53" t="s">
        <v>581</v>
      </c>
      <c r="C10" s="53" t="s">
        <v>460</v>
      </c>
      <c r="D10" s="53" t="s">
        <v>229</v>
      </c>
      <c r="E10" s="62">
        <v>3</v>
      </c>
      <c r="F10" s="62">
        <v>2</v>
      </c>
      <c r="G10" s="59">
        <v>6</v>
      </c>
      <c r="H10" s="64" t="s">
        <v>107</v>
      </c>
      <c r="I10" s="64" t="s">
        <v>382</v>
      </c>
      <c r="J10" s="53" t="s">
        <v>461</v>
      </c>
      <c r="K10" s="62" t="s">
        <v>99</v>
      </c>
    </row>
    <row r="11" spans="1:11" ht="50" customHeight="1" x14ac:dyDescent="0.2">
      <c r="A11" s="46">
        <v>8</v>
      </c>
      <c r="B11" s="53" t="s">
        <v>463</v>
      </c>
      <c r="C11" s="53" t="s">
        <v>575</v>
      </c>
      <c r="D11" s="53" t="s">
        <v>574</v>
      </c>
      <c r="E11" s="62">
        <v>3</v>
      </c>
      <c r="F11" s="62">
        <v>4</v>
      </c>
      <c r="G11" s="60">
        <v>12</v>
      </c>
      <c r="H11" s="64" t="s">
        <v>107</v>
      </c>
      <c r="I11" s="64" t="s">
        <v>382</v>
      </c>
      <c r="J11" s="53" t="s">
        <v>576</v>
      </c>
      <c r="K11" s="62" t="s">
        <v>99</v>
      </c>
    </row>
    <row r="12" spans="1:11" ht="50" customHeight="1" x14ac:dyDescent="0.2">
      <c r="A12" s="55">
        <v>9</v>
      </c>
      <c r="B12" s="54" t="s">
        <v>465</v>
      </c>
      <c r="C12" s="54" t="s">
        <v>464</v>
      </c>
      <c r="D12" s="54" t="s">
        <v>234</v>
      </c>
      <c r="E12" s="49">
        <v>3</v>
      </c>
      <c r="F12" s="49">
        <v>2</v>
      </c>
      <c r="G12" s="50">
        <v>6</v>
      </c>
      <c r="H12" s="49" t="s">
        <v>107</v>
      </c>
      <c r="I12" s="49" t="s">
        <v>382</v>
      </c>
      <c r="J12" s="54" t="s">
        <v>466</v>
      </c>
      <c r="K12" s="62" t="s">
        <v>99</v>
      </c>
    </row>
    <row r="13" spans="1:11" ht="50" customHeight="1" x14ac:dyDescent="0.2">
      <c r="A13" s="55">
        <v>10</v>
      </c>
      <c r="B13" s="54" t="s">
        <v>578</v>
      </c>
      <c r="C13" s="54" t="s">
        <v>579</v>
      </c>
      <c r="D13" s="54" t="s">
        <v>253</v>
      </c>
      <c r="E13" s="49">
        <v>2</v>
      </c>
      <c r="F13" s="49">
        <v>2</v>
      </c>
      <c r="G13" s="50">
        <v>4</v>
      </c>
      <c r="H13" s="49" t="s">
        <v>107</v>
      </c>
      <c r="I13" s="49" t="s">
        <v>382</v>
      </c>
      <c r="J13" s="54" t="s">
        <v>577</v>
      </c>
      <c r="K13" s="62" t="s">
        <v>99</v>
      </c>
    </row>
    <row r="14" spans="1:11" ht="50" customHeight="1" x14ac:dyDescent="0.2">
      <c r="A14" s="55">
        <v>11</v>
      </c>
      <c r="B14" s="54" t="s">
        <v>582</v>
      </c>
      <c r="C14" s="54" t="s">
        <v>583</v>
      </c>
      <c r="D14" s="54" t="s">
        <v>584</v>
      </c>
      <c r="E14" s="49">
        <v>3</v>
      </c>
      <c r="F14" s="49">
        <v>2</v>
      </c>
      <c r="G14" s="50">
        <v>6</v>
      </c>
      <c r="H14" s="49" t="s">
        <v>107</v>
      </c>
      <c r="I14" s="49" t="s">
        <v>587</v>
      </c>
      <c r="J14" s="54" t="s">
        <v>588</v>
      </c>
      <c r="K14" s="64" t="s">
        <v>759</v>
      </c>
    </row>
    <row r="15" spans="1:11" ht="50" customHeight="1" x14ac:dyDescent="0.2">
      <c r="A15" s="55">
        <v>12</v>
      </c>
      <c r="B15" s="54" t="s">
        <v>633</v>
      </c>
      <c r="C15" s="54" t="s">
        <v>634</v>
      </c>
      <c r="D15" s="54" t="s">
        <v>299</v>
      </c>
      <c r="E15" s="49">
        <v>2</v>
      </c>
      <c r="F15" s="49">
        <v>2</v>
      </c>
      <c r="G15" s="50">
        <v>4</v>
      </c>
      <c r="H15" s="49" t="s">
        <v>107</v>
      </c>
      <c r="I15" s="49" t="s">
        <v>382</v>
      </c>
      <c r="J15" s="54" t="s">
        <v>635</v>
      </c>
      <c r="K15" s="62" t="s">
        <v>99</v>
      </c>
    </row>
    <row r="16" spans="1:11" ht="50" customHeight="1" x14ac:dyDescent="0.2">
      <c r="A16" s="55">
        <v>13</v>
      </c>
      <c r="B16" s="54" t="s">
        <v>642</v>
      </c>
      <c r="C16" s="54" t="s">
        <v>641</v>
      </c>
      <c r="D16" s="54" t="s">
        <v>303</v>
      </c>
      <c r="E16" s="49">
        <v>2</v>
      </c>
      <c r="F16" s="49">
        <v>2</v>
      </c>
      <c r="G16" s="50">
        <v>4</v>
      </c>
      <c r="H16" s="49" t="s">
        <v>107</v>
      </c>
      <c r="I16" s="49" t="s">
        <v>382</v>
      </c>
      <c r="J16" s="54" t="s">
        <v>643</v>
      </c>
      <c r="K16" s="62" t="s">
        <v>99</v>
      </c>
    </row>
    <row r="17" spans="1:11" ht="50" customHeight="1" x14ac:dyDescent="0.2">
      <c r="A17" s="55">
        <v>14</v>
      </c>
      <c r="B17" s="54" t="s">
        <v>646</v>
      </c>
      <c r="C17" s="54" t="s">
        <v>645</v>
      </c>
      <c r="D17" s="54" t="s">
        <v>305</v>
      </c>
      <c r="E17" s="49">
        <v>2</v>
      </c>
      <c r="F17" s="49">
        <v>3</v>
      </c>
      <c r="G17" s="50">
        <v>6</v>
      </c>
      <c r="H17" s="49" t="s">
        <v>107</v>
      </c>
      <c r="I17" s="49" t="s">
        <v>382</v>
      </c>
      <c r="J17" s="54" t="s">
        <v>647</v>
      </c>
      <c r="K17" s="62" t="s">
        <v>99</v>
      </c>
    </row>
    <row r="18" spans="1:11" ht="50" customHeight="1" x14ac:dyDescent="0.2">
      <c r="A18" s="55">
        <v>15</v>
      </c>
      <c r="B18" s="54" t="s">
        <v>652</v>
      </c>
      <c r="C18" s="54" t="s">
        <v>653</v>
      </c>
      <c r="D18" s="54" t="s">
        <v>314</v>
      </c>
      <c r="E18" s="49">
        <v>2</v>
      </c>
      <c r="F18" s="49">
        <v>3</v>
      </c>
      <c r="G18" s="50">
        <v>6</v>
      </c>
      <c r="H18" s="49" t="s">
        <v>107</v>
      </c>
      <c r="I18" s="49" t="s">
        <v>382</v>
      </c>
      <c r="J18" s="54" t="s">
        <v>655</v>
      </c>
      <c r="K18" s="62" t="s">
        <v>99</v>
      </c>
    </row>
    <row r="19" spans="1:11" ht="50" customHeight="1" x14ac:dyDescent="0.2">
      <c r="A19" s="55">
        <v>16</v>
      </c>
      <c r="B19" s="54" t="s">
        <v>657</v>
      </c>
      <c r="C19" s="54" t="s">
        <v>656</v>
      </c>
      <c r="D19" s="54" t="s">
        <v>318</v>
      </c>
      <c r="E19" s="49">
        <v>2</v>
      </c>
      <c r="F19" s="49">
        <v>3</v>
      </c>
      <c r="G19" s="50">
        <v>6</v>
      </c>
      <c r="H19" s="49" t="s">
        <v>107</v>
      </c>
      <c r="I19" s="49" t="s">
        <v>382</v>
      </c>
      <c r="J19" s="54" t="s">
        <v>629</v>
      </c>
      <c r="K19" s="62" t="s">
        <v>99</v>
      </c>
    </row>
    <row r="20" spans="1:11" ht="50" customHeight="1" x14ac:dyDescent="0.2">
      <c r="A20" s="55">
        <v>17</v>
      </c>
      <c r="B20" s="54" t="s">
        <v>711</v>
      </c>
      <c r="C20" s="54" t="s">
        <v>712</v>
      </c>
      <c r="D20" s="54" t="s">
        <v>713</v>
      </c>
      <c r="E20" s="49">
        <v>3</v>
      </c>
      <c r="F20" s="49">
        <v>3</v>
      </c>
      <c r="G20" s="50">
        <v>9</v>
      </c>
      <c r="H20" s="49" t="s">
        <v>107</v>
      </c>
      <c r="I20" s="49" t="s">
        <v>382</v>
      </c>
      <c r="J20" s="54" t="s">
        <v>714</v>
      </c>
      <c r="K20" s="62" t="s">
        <v>99</v>
      </c>
    </row>
    <row r="21" spans="1:11" ht="50" customHeight="1" x14ac:dyDescent="0.2">
      <c r="A21" s="55">
        <v>18</v>
      </c>
      <c r="B21" s="54" t="s">
        <v>716</v>
      </c>
      <c r="C21" s="54" t="s">
        <v>715</v>
      </c>
      <c r="D21" s="54" t="s">
        <v>345</v>
      </c>
      <c r="E21" s="49">
        <v>2</v>
      </c>
      <c r="F21" s="49">
        <v>2</v>
      </c>
      <c r="G21" s="50">
        <v>4</v>
      </c>
      <c r="H21" s="49" t="s">
        <v>107</v>
      </c>
      <c r="I21" s="49" t="s">
        <v>382</v>
      </c>
      <c r="J21" s="54" t="s">
        <v>717</v>
      </c>
      <c r="K21" s="62" t="s">
        <v>99</v>
      </c>
    </row>
    <row r="22" spans="1:11" ht="50" customHeight="1" x14ac:dyDescent="0.2">
      <c r="A22" s="55">
        <v>19</v>
      </c>
      <c r="B22" s="54" t="s">
        <v>751</v>
      </c>
      <c r="C22" s="54" t="s">
        <v>752</v>
      </c>
      <c r="D22" s="54" t="s">
        <v>753</v>
      </c>
      <c r="E22" s="49">
        <v>2</v>
      </c>
      <c r="F22" s="49">
        <v>2</v>
      </c>
      <c r="G22" s="50">
        <v>4</v>
      </c>
      <c r="H22" s="49" t="s">
        <v>107</v>
      </c>
      <c r="I22" s="49" t="s">
        <v>382</v>
      </c>
      <c r="J22" s="54" t="s">
        <v>754</v>
      </c>
      <c r="K22" s="62" t="s">
        <v>99</v>
      </c>
    </row>
    <row r="23" spans="1:11" ht="50" customHeight="1" x14ac:dyDescent="0.2">
      <c r="A23" s="55">
        <v>20</v>
      </c>
      <c r="B23" s="54" t="s">
        <v>756</v>
      </c>
      <c r="C23" s="54" t="s">
        <v>755</v>
      </c>
      <c r="D23" s="54" t="s">
        <v>360</v>
      </c>
      <c r="E23" s="49">
        <v>2</v>
      </c>
      <c r="F23" s="49">
        <v>2</v>
      </c>
      <c r="G23" s="50">
        <v>4</v>
      </c>
      <c r="H23" s="49" t="s">
        <v>107</v>
      </c>
      <c r="I23" s="49" t="s">
        <v>382</v>
      </c>
      <c r="J23" s="54" t="s">
        <v>757</v>
      </c>
      <c r="K23" s="62" t="s">
        <v>99</v>
      </c>
    </row>
    <row r="24" spans="1:11" ht="39.75" customHeight="1" x14ac:dyDescent="0.2">
      <c r="A24" s="42"/>
      <c r="B24" s="47"/>
      <c r="C24" s="47"/>
      <c r="D24" s="47"/>
      <c r="E24" s="47"/>
      <c r="F24" s="47"/>
      <c r="G24" s="48"/>
      <c r="H24" s="47"/>
      <c r="I24" s="47"/>
      <c r="J24" s="47"/>
      <c r="K24" s="47"/>
    </row>
  </sheetData>
  <mergeCells count="2">
    <mergeCell ref="A2:K2"/>
    <mergeCell ref="A1:K1"/>
  </mergeCells>
  <conditionalFormatting sqref="G1:G1048576">
    <cfRule type="cellIs" dxfId="6" priority="2" operator="between">
      <formula>1</formula>
      <formula>3</formula>
    </cfRule>
    <cfRule type="cellIs" dxfId="5" priority="3" operator="between">
      <formula>4</formula>
      <formula>6</formula>
    </cfRule>
    <cfRule type="cellIs" dxfId="4" priority="4" operator="between">
      <formula>7</formula>
      <formula>11</formula>
    </cfRule>
    <cfRule type="cellIs" dxfId="3" priority="5" operator="between">
      <formula>12</formula>
      <formula>25</formula>
    </cfRule>
  </conditionalFormatting>
  <conditionalFormatting sqref="K1:K1048576">
    <cfRule type="containsText" dxfId="2" priority="1" stopIfTrue="1" operator="containsText" text="Risk Accepted">
      <formula>NOT(ISERROR(SEARCH("Risk Accepted",K1)))</formula>
    </cfRule>
  </conditionalFormatting>
  <dataValidations count="1">
    <dataValidation type="list" allowBlank="1" showInputMessage="1" showErrorMessage="1" sqref="K1:K1048576" xr:uid="{B9574435-A3B7-3F4D-928B-32EE2BDE8399}">
      <formula1>"Open,In Progress,Closed,Risk Accepted"</formula1>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showGridLines="0" zoomScaleNormal="100" workbookViewId="0">
      <selection activeCell="B12" sqref="B12"/>
    </sheetView>
  </sheetViews>
  <sheetFormatPr baseColWidth="10" defaultColWidth="8.6640625" defaultRowHeight="15" x14ac:dyDescent="0.2"/>
  <cols>
    <col min="1" max="1" width="3" customWidth="1"/>
    <col min="2" max="2" width="35.83203125" customWidth="1"/>
    <col min="3" max="3" width="22.1640625" customWidth="1"/>
    <col min="4" max="4" width="20.83203125" customWidth="1"/>
    <col min="5" max="5" width="26" customWidth="1"/>
    <col min="6" max="6" width="29" customWidth="1"/>
  </cols>
  <sheetData>
    <row r="1" spans="1:6" ht="31.5" customHeight="1" x14ac:dyDescent="0.2">
      <c r="A1" s="126" t="s">
        <v>395</v>
      </c>
      <c r="B1" s="111"/>
      <c r="C1" s="111"/>
      <c r="D1" s="111"/>
      <c r="E1" s="111"/>
      <c r="F1" s="111"/>
    </row>
    <row r="2" spans="1:6" ht="19.5" customHeight="1" x14ac:dyDescent="0.2">
      <c r="A2" s="124" t="s">
        <v>396</v>
      </c>
      <c r="B2" s="125"/>
      <c r="C2" s="125"/>
      <c r="D2" s="125"/>
      <c r="E2" s="125"/>
      <c r="F2" s="125"/>
    </row>
    <row r="3" spans="1:6" ht="27.75" customHeight="1" x14ac:dyDescent="0.2"/>
    <row r="4" spans="1:6" ht="27.75" customHeight="1" x14ac:dyDescent="0.2">
      <c r="B4" s="65" t="s">
        <v>397</v>
      </c>
      <c r="C4" s="66" t="s">
        <v>398</v>
      </c>
      <c r="D4" s="66" t="s">
        <v>399</v>
      </c>
      <c r="E4" s="66" t="s">
        <v>760</v>
      </c>
      <c r="F4" s="66" t="s">
        <v>400</v>
      </c>
    </row>
    <row r="5" spans="1:6" ht="27.75" customHeight="1" x14ac:dyDescent="0.2">
      <c r="B5" s="67" t="s">
        <v>401</v>
      </c>
      <c r="C5" s="68">
        <f>IFERROR(AVERAGEIF('GV — Govern'!E:E,"&gt;0",'GV — Govern'!E:E),"—")</f>
        <v>2.4666666666666668</v>
      </c>
      <c r="D5" s="69">
        <f>COUNTIF('GV — Govern'!E:E,"&gt;0")</f>
        <v>15</v>
      </c>
      <c r="E5" s="70">
        <f>COUNTIF('GV — Govern'!E:E,"&lt;=2")-COUNTIF('GV — Govern'!E:E,"&lt;1")</f>
        <v>7</v>
      </c>
      <c r="F5" s="71">
        <f>IFERROR(COUNTIF('GV — Govern'!E:E,"&lt;=2")/COUNTIF('GV — Govern'!E:E,"&gt;0"),"—")</f>
        <v>0.46666666666666667</v>
      </c>
    </row>
    <row r="6" spans="1:6" ht="27.75" customHeight="1" x14ac:dyDescent="0.2">
      <c r="B6" s="72" t="s">
        <v>402</v>
      </c>
      <c r="C6" s="73">
        <f>IFERROR(AVERAGEIF('ID — Identify'!E:E,"&gt;0",'ID — Identify'!E:E),"—")</f>
        <v>2.6666666666666665</v>
      </c>
      <c r="D6" s="74">
        <f>COUNTIF('ID — Identify'!E:E,"&gt;0")</f>
        <v>12</v>
      </c>
      <c r="E6" s="75">
        <f>COUNTIF('ID — Identify'!E:E,"&lt;=2")-COUNTIF('ID — Identify'!E:E,"&lt;1")</f>
        <v>4</v>
      </c>
      <c r="F6" s="76">
        <f>IFERROR(COUNTIF('ID — Identify'!E:E,"&lt;=2")/COUNTIF('ID — Identify'!E:E,"&gt;0"),"—")</f>
        <v>0.33333333333333331</v>
      </c>
    </row>
    <row r="7" spans="1:6" ht="27.75" customHeight="1" x14ac:dyDescent="0.2">
      <c r="B7" s="77" t="s">
        <v>403</v>
      </c>
      <c r="C7" s="78">
        <f>IFERROR(AVERAGEIF('PR — Protect'!E:E,"&gt;0",'PR — Protect'!E:E),"—")</f>
        <v>3</v>
      </c>
      <c r="D7" s="79">
        <f>COUNTIF('PR — Protect'!E:E,"&gt;0")</f>
        <v>19</v>
      </c>
      <c r="E7" s="80">
        <f>COUNTIF('PR — Protect'!E:E,"&lt;=2")-COUNTIF('PR — Protect'!E:E,"&lt;1")</f>
        <v>6</v>
      </c>
      <c r="F7" s="81">
        <f>IFERROR(COUNTIF('PR — Protect'!E:E,"&lt;=2")/COUNTIF('PR — Protect'!E:E,"&gt;0"),"—")</f>
        <v>0.31578947368421051</v>
      </c>
    </row>
    <row r="8" spans="1:6" ht="27.75" customHeight="1" x14ac:dyDescent="0.2">
      <c r="B8" s="82" t="s">
        <v>404</v>
      </c>
      <c r="C8" s="83">
        <f>IFERROR(AVERAGEIF('DE — Detect'!E:E,"&gt;0",'DE — Detect'!E:E),"—")</f>
        <v>2.1818181818181817</v>
      </c>
      <c r="D8" s="84">
        <f>COUNTIF('DE — Detect'!E:E,"&gt;0")</f>
        <v>11</v>
      </c>
      <c r="E8" s="85">
        <f>COUNTIF('DE — Detect'!E:E,"&lt;=2")-COUNTIF('DE — Detect'!E:E,"&lt;1")</f>
        <v>6</v>
      </c>
      <c r="F8" s="86">
        <f>IFERROR(COUNTIF('DE — Detect'!E:E,"&lt;=2")/COUNTIF('DE — Detect'!E:E,"&gt;0"),"—")</f>
        <v>0.54545454545454541</v>
      </c>
    </row>
    <row r="9" spans="1:6" ht="27.75" customHeight="1" x14ac:dyDescent="0.2">
      <c r="B9" s="87" t="s">
        <v>405</v>
      </c>
      <c r="C9" s="88">
        <f>IFERROR(AVERAGEIF('RS — Respond'!E:E,"&gt;0",'RS — Respond'!E:E),"—")</f>
        <v>2.0833333333333335</v>
      </c>
      <c r="D9" s="89">
        <f>COUNTIF('RS — Respond'!E:E,"&gt;0")</f>
        <v>12</v>
      </c>
      <c r="E9" s="90">
        <f>COUNTIF('RS — Respond'!E:E,"&lt;=2")-COUNTIF('RS — Respond'!E:E,"&lt;1")</f>
        <v>10</v>
      </c>
      <c r="F9" s="91">
        <f>IFERROR(COUNTIF('RS — Respond'!E:E,"&lt;=2")/COUNTIF('RS — Respond'!E:E,"&gt;0"),"—")</f>
        <v>0.83333333333333337</v>
      </c>
    </row>
    <row r="10" spans="1:6" ht="27.75" customHeight="1" x14ac:dyDescent="0.2">
      <c r="B10" s="92" t="s">
        <v>406</v>
      </c>
      <c r="C10" s="93">
        <f>IFERROR(AVERAGEIF('RC — Recover'!E:E,"&gt;0",'RC — Recover'!E:E),"—")</f>
        <v>2.5714285714285716</v>
      </c>
      <c r="D10" s="94">
        <f>COUNTIF('RC — Recover'!E:E,"&gt;0")</f>
        <v>7</v>
      </c>
      <c r="E10" s="95">
        <f>COUNTIF('RC — Recover'!E:E,"&lt;=2")-COUNTIF('RC — Recover'!E:E,"&lt;1")</f>
        <v>3</v>
      </c>
      <c r="F10" s="96">
        <f>IFERROR(COUNTIF('RC — Recover'!E:E,"&lt;=2")/COUNTIF('RC — Recover'!E:E,"&gt;0"),"—")</f>
        <v>0.42857142857142855</v>
      </c>
    </row>
    <row r="11" spans="1:6" ht="27.75" customHeight="1" x14ac:dyDescent="0.2">
      <c r="B11" s="97"/>
      <c r="C11" s="97"/>
      <c r="D11" s="97"/>
      <c r="E11" s="97"/>
      <c r="F11" s="97"/>
    </row>
    <row r="12" spans="1:6" ht="27.75" customHeight="1" x14ac:dyDescent="0.2">
      <c r="B12" s="98" t="s">
        <v>407</v>
      </c>
      <c r="C12" s="99">
        <f>IFERROR(AVERAGE(C5:C10),"—")</f>
        <v>2.4949855699855701</v>
      </c>
      <c r="D12" s="97"/>
      <c r="E12" s="97"/>
      <c r="F12" s="97"/>
    </row>
    <row r="13" spans="1:6" ht="27.75" customHeight="1" x14ac:dyDescent="0.2">
      <c r="B13" s="98" t="s">
        <v>409</v>
      </c>
      <c r="C13" s="100">
        <f>SUM(D5:D10)</f>
        <v>76</v>
      </c>
      <c r="D13" s="97"/>
      <c r="E13" s="97"/>
      <c r="F13" s="97"/>
    </row>
    <row r="14" spans="1:6" ht="27.75" customHeight="1" x14ac:dyDescent="0.2">
      <c r="B14" s="101" t="s">
        <v>408</v>
      </c>
      <c r="C14" s="102">
        <f>SUM(E5:E10)</f>
        <v>36</v>
      </c>
      <c r="D14" s="97"/>
      <c r="E14" s="97"/>
      <c r="F14" s="97"/>
    </row>
    <row r="15" spans="1:6" ht="16" x14ac:dyDescent="0.2">
      <c r="B15" s="97"/>
      <c r="C15" s="97"/>
      <c r="D15" s="97"/>
      <c r="E15" s="97"/>
      <c r="F15" s="97"/>
    </row>
  </sheetData>
  <mergeCells count="2">
    <mergeCell ref="A2:F2"/>
    <mergeCell ref="A1:F1"/>
  </mergeCells>
  <conditionalFormatting sqref="C5:C10">
    <cfRule type="colorScale" priority="2">
      <colorScale>
        <cfvo type="num" val="1"/>
        <cfvo type="num" val="3"/>
        <cfvo type="num" val="5"/>
        <color rgb="FFF09595"/>
        <color rgb="FFFAC775"/>
        <color rgb="FF9FE1CB"/>
      </colorScale>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election activeCell="F12" sqref="F12"/>
    </sheetView>
  </sheetViews>
  <sheetFormatPr baseColWidth="10" defaultColWidth="8.83203125" defaultRowHeight="15" x14ac:dyDescent="0.2"/>
  <cols>
    <col min="1" max="1" width="15" customWidth="1"/>
    <col min="2" max="2" width="35" customWidth="1"/>
    <col min="3" max="3" width="50" customWidth="1"/>
    <col min="4" max="4" width="40" customWidth="1"/>
    <col min="5" max="5" width="15" customWidth="1"/>
  </cols>
  <sheetData>
    <row r="1" spans="1:5" ht="30" customHeight="1" x14ac:dyDescent="0.2">
      <c r="A1" s="128" t="s">
        <v>0</v>
      </c>
      <c r="B1" s="111"/>
      <c r="C1" s="111"/>
      <c r="D1" s="111"/>
      <c r="E1" s="111"/>
    </row>
    <row r="2" spans="1:5" ht="18" customHeight="1" x14ac:dyDescent="0.2">
      <c r="A2" s="127" t="s">
        <v>1</v>
      </c>
      <c r="B2" s="111"/>
      <c r="C2" s="111"/>
      <c r="D2" s="111"/>
      <c r="E2" s="111"/>
    </row>
    <row r="3" spans="1:5" ht="8" customHeight="1" x14ac:dyDescent="0.2"/>
    <row r="4" spans="1:5" ht="25" customHeight="1" x14ac:dyDescent="0.2">
      <c r="A4" s="27" t="s">
        <v>2</v>
      </c>
      <c r="B4" s="27" t="s">
        <v>3</v>
      </c>
      <c r="C4" s="27" t="s">
        <v>4</v>
      </c>
      <c r="D4" s="27" t="s">
        <v>5</v>
      </c>
      <c r="E4" s="27" t="s">
        <v>6</v>
      </c>
    </row>
    <row r="5" spans="1:5" ht="50" customHeight="1" x14ac:dyDescent="0.2">
      <c r="A5" s="28" t="s">
        <v>7</v>
      </c>
      <c r="B5" s="28" t="s">
        <v>8</v>
      </c>
      <c r="C5" s="28" t="s">
        <v>9</v>
      </c>
      <c r="D5" s="28" t="s">
        <v>10</v>
      </c>
      <c r="E5" s="28" t="s">
        <v>11</v>
      </c>
    </row>
    <row r="6" spans="1:5" ht="50" customHeight="1" x14ac:dyDescent="0.2">
      <c r="A6" s="28" t="s">
        <v>12</v>
      </c>
      <c r="B6" s="28" t="s">
        <v>13</v>
      </c>
      <c r="C6" s="28" t="s">
        <v>14</v>
      </c>
      <c r="D6" s="28" t="s">
        <v>15</v>
      </c>
      <c r="E6" s="28" t="s">
        <v>11</v>
      </c>
    </row>
    <row r="7" spans="1:5" ht="50" customHeight="1" x14ac:dyDescent="0.2">
      <c r="A7" s="28" t="s">
        <v>16</v>
      </c>
      <c r="B7" s="28" t="s">
        <v>17</v>
      </c>
      <c r="C7" s="28" t="s">
        <v>18</v>
      </c>
      <c r="D7" s="28" t="s">
        <v>19</v>
      </c>
      <c r="E7" s="28" t="s">
        <v>11</v>
      </c>
    </row>
    <row r="8" spans="1:5" ht="50" customHeight="1" x14ac:dyDescent="0.2">
      <c r="A8" s="29" t="s">
        <v>20</v>
      </c>
      <c r="B8" s="29" t="s">
        <v>21</v>
      </c>
      <c r="C8" s="29" t="s">
        <v>22</v>
      </c>
      <c r="D8" s="29" t="s">
        <v>23</v>
      </c>
      <c r="E8" s="29" t="s">
        <v>11</v>
      </c>
    </row>
    <row r="9" spans="1:5" ht="50" customHeight="1" x14ac:dyDescent="0.2">
      <c r="A9" s="30" t="s">
        <v>24</v>
      </c>
      <c r="B9" s="30" t="s">
        <v>25</v>
      </c>
      <c r="C9" s="30" t="s">
        <v>26</v>
      </c>
      <c r="D9" s="30" t="s">
        <v>27</v>
      </c>
      <c r="E9" s="30" t="s">
        <v>11</v>
      </c>
    </row>
    <row r="10" spans="1:5" ht="50" customHeight="1" x14ac:dyDescent="0.2">
      <c r="A10" s="30" t="s">
        <v>28</v>
      </c>
      <c r="B10" s="30" t="s">
        <v>29</v>
      </c>
      <c r="C10" s="30" t="s">
        <v>30</v>
      </c>
      <c r="D10" s="30" t="s">
        <v>31</v>
      </c>
      <c r="E10" s="30" t="s">
        <v>11</v>
      </c>
    </row>
    <row r="11" spans="1:5" ht="50" customHeight="1" x14ac:dyDescent="0.2">
      <c r="A11" s="31" t="s">
        <v>32</v>
      </c>
      <c r="B11" s="31" t="s">
        <v>33</v>
      </c>
      <c r="C11" s="31" t="s">
        <v>34</v>
      </c>
      <c r="D11" s="31" t="s">
        <v>35</v>
      </c>
      <c r="E11" s="31" t="s">
        <v>11</v>
      </c>
    </row>
    <row r="12" spans="1:5" ht="50" customHeight="1" x14ac:dyDescent="0.2">
      <c r="A12" s="32" t="s">
        <v>36</v>
      </c>
      <c r="B12" s="32" t="s">
        <v>37</v>
      </c>
      <c r="C12" s="32" t="s">
        <v>38</v>
      </c>
      <c r="D12" s="32" t="s">
        <v>39</v>
      </c>
      <c r="E12" s="32" t="s">
        <v>761</v>
      </c>
    </row>
    <row r="13" spans="1:5" ht="50" customHeight="1" x14ac:dyDescent="0.2">
      <c r="A13" s="33" t="s">
        <v>40</v>
      </c>
      <c r="B13" s="33" t="s">
        <v>41</v>
      </c>
      <c r="C13" s="33" t="s">
        <v>42</v>
      </c>
      <c r="D13" s="33" t="s">
        <v>43</v>
      </c>
      <c r="E13" s="33" t="s">
        <v>11</v>
      </c>
    </row>
  </sheetData>
  <mergeCells count="2">
    <mergeCell ref="A2:E2"/>
    <mergeCell ref="A1:E1"/>
  </mergeCells>
  <conditionalFormatting sqref="E1:E1048576">
    <cfRule type="containsText" dxfId="1" priority="1" operator="containsText" text="Not Started">
      <formula>NOT(ISERROR(SEARCH("Not Started",E1)))</formula>
    </cfRule>
    <cfRule type="containsText" dxfId="0" priority="2" operator="containsText" text="Complete">
      <formula>NOT(ISERROR(SEARCH("Complete",E1)))</formula>
    </cfRule>
  </conditionalFormatting>
  <dataValidations count="1">
    <dataValidation type="list" allowBlank="1" showInputMessage="1" showErrorMessage="1" sqref="E1:E1048576" xr:uid="{11EAEF22-3565-7740-BC20-6DAAA9F42583}">
      <formula1>"Not Started,In Progress,Complete"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How To Use</vt:lpstr>
      <vt:lpstr>GV — Govern</vt:lpstr>
      <vt:lpstr>ID — Identify</vt:lpstr>
      <vt:lpstr>PR — Protect</vt:lpstr>
      <vt:lpstr>DE — Detect</vt:lpstr>
      <vt:lpstr>RS — Respond</vt:lpstr>
      <vt:lpstr>RC — Recover</vt:lpstr>
      <vt:lpstr>Risk Register</vt:lpstr>
      <vt:lpstr>Dashboard</vt:lpstr>
      <vt:lpstr>Document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Chau Pham</cp:lastModifiedBy>
  <cp:revision>0</cp:revision>
  <dcterms:created xsi:type="dcterms:W3CDTF">2026-04-04T14:31:15Z</dcterms:created>
  <dcterms:modified xsi:type="dcterms:W3CDTF">2026-07-11T20:53:32Z</dcterms:modified>
  <dc:language>en-US</dc:language>
</cp:coreProperties>
</file>